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ASB – Microsoft" sheetId="2" state="visible" r:id="rId4"/>
    <sheet name="SASB – Merck" sheetId="3" state="visible" r:id="rId5"/>
    <sheet name="SASB – Walmart" sheetId="4" state="visible" r:id="rId6"/>
    <sheet name="TCFD – JPMorgan Chase" sheetId="5" state="visible" r:id="rId7"/>
    <sheet name="TCFD – Unilever" sheetId="6" state="visible" r:id="rId8"/>
    <sheet name="TCFD – BP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<sst xmlns="http://schemas.openxmlformats.org/spreadsheetml/2006/main" count="1287" uniqueCount="536">
  <si>
    <t xml:space="preserve">SASB &amp; TCFD DISCLOSURE WORKBOOK</t>
  </si>
  <si>
    <t xml:space="preserve">Standards covered</t>
  </si>
  <si>
    <t xml:space="preserve">SASB (industry-specific) | TCFD (climate-related)</t>
  </si>
  <si>
    <t xml:space="preserve">SASB companies</t>
  </si>
  <si>
    <t xml:space="preserve">Microsoft (TC-SI) | Merck &amp; Co. (HC-BP) | Walmart (FB-FR)</t>
  </si>
  <si>
    <t xml:space="preserve">TCFD companies</t>
  </si>
  <si>
    <t xml:space="preserve">JPMorgan Chase (Financial) | Unilever (Consumer Goods) | BP (Energy)</t>
  </si>
  <si>
    <t xml:space="preserve">Years covered</t>
  </si>
  <si>
    <t xml:space="preserve">FY2021 | FY2022 | FY2023 | FY2024</t>
  </si>
  <si>
    <t xml:space="preserve">SASB industries</t>
  </si>
  <si>
    <t xml:space="preserve">TC-SI: Software &amp; IT | HC-BP: Biotech &amp; Pharma | FB-FR: Food &amp; Staples Retail</t>
  </si>
  <si>
    <t xml:space="preserve">TCFD pillars</t>
  </si>
  <si>
    <t xml:space="preserve">Governance | Strategy | Risk Management | Metrics &amp; Targets</t>
  </si>
  <si>
    <t xml:space="preserve">Currency</t>
  </si>
  <si>
    <t xml:space="preserve">USD mn unless noted (Unilever EUR; emissions in MtCO2e or tCO2e per source)</t>
  </si>
  <si>
    <t xml:space="preserve">Fiscal year basis</t>
  </si>
  <si>
    <t xml:space="preserve">Microsoft FY ends Jun 30 | Walmart FY ends Jan 31 | Others = calendar year</t>
  </si>
  <si>
    <t xml:space="preserve">Data nature</t>
  </si>
  <si>
    <t xml:space="preserve">Sourced from public disclosures: 10-K/20-F filings, audited annual reports, third-party assured ESG datasheets, CDP responses</t>
  </si>
  <si>
    <t xml:space="preserve">Assurance level</t>
  </si>
  <si>
    <t xml:space="preserve">BP &amp; Unilever: full multi-year limited assurance (Deloitte, PwC). JPMorgan: 2023+2024 PwC assured. Microsoft: Deloitte assured fact sheets. Walmart: limited assurance on Scope 1+2. Merck: 2024 single-year assurance.</t>
  </si>
  <si>
    <t xml:space="preserve">Parameter selection</t>
  </si>
  <si>
    <t xml:space="preserve">SASB/TCFD framework preserved; parameters match what each company actually publishes</t>
  </si>
  <si>
    <t xml:space="preserve">Cells marked "n/d"</t>
  </si>
  <si>
    <t xml:space="preserve">Not disclosed publicly at the relevant granularity / year</t>
  </si>
  <si>
    <t xml:space="preserve">Colour coding</t>
  </si>
  <si>
    <t xml:space="preserve">Green=Excellent | Yellow=Good | Orange=Moderate | Red=Poor (qualitative)</t>
  </si>
  <si>
    <t xml:space="preserve">Sources tab</t>
  </si>
  <si>
    <t xml:space="preserve">All primary source URLs with descriptions</t>
  </si>
  <si>
    <t xml:space="preserve">Last updated</t>
  </si>
  <si>
    <t xml:space="preserve">May 2026</t>
  </si>
  <si>
    <t xml:space="preserve">SASB DISCLOSURE DATA  |  Microsoft Corporation  |  Sector: Software &amp; IT Services  |  HQ: Redmond, WA, USA</t>
  </si>
  <si>
    <t xml:space="preserve">SASB Standard: TC-SI | FY2021–FY2024 (fiscal year ends June 30) | USD mn unless stated</t>
  </si>
  <si>
    <t xml:space="preserve">Standard</t>
  </si>
  <si>
    <t xml:space="preserve">SASB Code</t>
  </si>
  <si>
    <t xml:space="preserve">Topic</t>
  </si>
  <si>
    <t xml:space="preserve">Parameter</t>
  </si>
  <si>
    <t xml:space="preserve">Unit</t>
  </si>
  <si>
    <t xml:space="preserve">Method</t>
  </si>
  <si>
    <t xml:space="preserve">FY2021</t>
  </si>
  <si>
    <t xml:space="preserve">FY2022</t>
  </si>
  <si>
    <t xml:space="preserve">FY2023</t>
  </si>
  <si>
    <t xml:space="preserve">FY2024</t>
  </si>
  <si>
    <t xml:space="preserve">YoY FY21→22</t>
  </si>
  <si>
    <t xml:space="preserve">YoY FY22→23</t>
  </si>
  <si>
    <t xml:space="preserve">YoY FY23→24</t>
  </si>
  <si>
    <t xml:space="preserve">Assessment / Remark</t>
  </si>
  <si>
    <t xml:space="preserve">  ▶  Activity Metrics</t>
  </si>
  <si>
    <t xml:space="preserve">TC-SI</t>
  </si>
  <si>
    <t xml:space="preserve">TC-SI-000</t>
  </si>
  <si>
    <t xml:space="preserve">Identity</t>
  </si>
  <si>
    <t xml:space="preserve">Revenue</t>
  </si>
  <si>
    <t xml:space="preserve">USD mn</t>
  </si>
  <si>
    <t xml:space="preserve">Form 10-K Income Statement</t>
  </si>
  <si>
    <t xml:space="preserve">Strong growth — cloud and AI</t>
  </si>
  <si>
    <t xml:space="preserve">R&amp;D expenditure</t>
  </si>
  <si>
    <t xml:space="preserve">Form 10-K — operating expense detail</t>
  </si>
  <si>
    <t xml:space="preserve">Rising R&amp;D — cloud + AI investments</t>
  </si>
  <si>
    <t xml:space="preserve">Total employees (year-end)</t>
  </si>
  <si>
    <t xml:space="preserve">No.</t>
  </si>
  <si>
    <t xml:space="preserve">Form 10-K — Human Capital section</t>
  </si>
  <si>
    <t xml:space="preserve">  ▶  Environmental Footprint of Hardware Infrastructure</t>
  </si>
  <si>
    <t xml:space="preserve">TC-SI-130a.1</t>
  </si>
  <si>
    <t xml:space="preserve">Environment</t>
  </si>
  <si>
    <t xml:space="preserve">Total energy consumption</t>
  </si>
  <si>
    <t xml:space="preserve">MWh</t>
  </si>
  <si>
    <t xml:space="preserve">Environmental Data Fact Sheet (Deloitte limited assurance)</t>
  </si>
  <si>
    <t xml:space="preserve">Moderate — datacenter growth</t>
  </si>
  <si>
    <t xml:space="preserve">% electricity from renewable sources</t>
  </si>
  <si>
    <t xml:space="preserve">%</t>
  </si>
  <si>
    <t xml:space="preserve">Environmental Data Fact Sheet</t>
  </si>
  <si>
    <t xml:space="preserve">Excellent — 100% match maintained</t>
  </si>
  <si>
    <t xml:space="preserve">% direct renewable electricity (PPA/onsite)</t>
  </si>
  <si>
    <t xml:space="preserve">n/d</t>
  </si>
  <si>
    <t xml:space="preserve">—</t>
  </si>
  <si>
    <t xml:space="preserve">Good — direct procurement scaling</t>
  </si>
  <si>
    <t xml:space="preserve">Scope 1 GHG emissions</t>
  </si>
  <si>
    <t xml:space="preserve">mtCO2e</t>
  </si>
  <si>
    <t xml:space="preserve">Environmental Data Fact Sheet (Deloitte assured)</t>
  </si>
  <si>
    <t xml:space="preserve">Good — broadly flat</t>
  </si>
  <si>
    <t xml:space="preserve">Scope 2 GHG (market-based)</t>
  </si>
  <si>
    <t xml:space="preserve">Excellent — 40% below 2021</t>
  </si>
  <si>
    <t xml:space="preserve">Scope 2 GHG (location-based)</t>
  </si>
  <si>
    <t xml:space="preserve">Moderate — rising with grid</t>
  </si>
  <si>
    <t xml:space="preserve">TC-SI-130a.2</t>
  </si>
  <si>
    <t xml:space="preserve">Total water withdrawals</t>
  </si>
  <si>
    <t xml:space="preserve">megalitres</t>
  </si>
  <si>
    <t xml:space="preserve">Environmental Data Fact Sheet — Table 9</t>
  </si>
  <si>
    <t xml:space="preserve">Moderate — volatile</t>
  </si>
  <si>
    <t xml:space="preserve">% withdrawals in water-stressed areas</t>
  </si>
  <si>
    <t xml:space="preserve">Moderate — rising share</t>
  </si>
  <si>
    <t xml:space="preserve">TC-SI-130a.3</t>
  </si>
  <si>
    <t xml:space="preserve">Total waste generated</t>
  </si>
  <si>
    <t xml:space="preserve">metric tons</t>
  </si>
  <si>
    <t xml:space="preserve">Moderate — growing with footprint</t>
  </si>
  <si>
    <t xml:space="preserve">% packaging designed for recyclability</t>
  </si>
  <si>
    <t xml:space="preserve">Excellent — circular design</t>
  </si>
  <si>
    <t xml:space="preserve">  ▶  Data Privacy &amp; Freedom of Expression</t>
  </si>
  <si>
    <t xml:space="preserve">TC-SI-220a.1</t>
  </si>
  <si>
    <t xml:space="preserve">Data Privacy</t>
  </si>
  <si>
    <t xml:space="preserve">Law enforcement requests received</t>
  </si>
  <si>
    <t xml:space="preserve">Microsoft Law Enforcement Requests Reports (biannual)</t>
  </si>
  <si>
    <t xml:space="preserve">H1+H2 2021: 27,809+25,182</t>
  </si>
  <si>
    <t xml:space="preserve">  ▶  Data Security</t>
  </si>
  <si>
    <t xml:space="preserve">TC-SI-230a.1</t>
  </si>
  <si>
    <t xml:space="preserve">Data Security</t>
  </si>
  <si>
    <t xml:space="preserve">Material data breaches affecting users</t>
  </si>
  <si>
    <t xml:space="preserve">Microsoft Digital Defense Report; 10-K Item 1A</t>
  </si>
  <si>
    <t xml:space="preserve">Not disclosed at this granularity</t>
  </si>
  <si>
    <t xml:space="preserve">  ▶  Workforce</t>
  </si>
  <si>
    <t xml:space="preserve">TC-SI-330a.3</t>
  </si>
  <si>
    <t xml:space="preserve">Workforce</t>
  </si>
  <si>
    <t xml:space="preserve">% women in global workforce</t>
  </si>
  <si>
    <t xml:space="preserve">Microsoft Diversity &amp; Inclusion Report</t>
  </si>
  <si>
    <t xml:space="preserve">Reported but not in workbook format</t>
  </si>
  <si>
    <t xml:space="preserve">  ▶  Managing Systemic Risks</t>
  </si>
  <si>
    <t xml:space="preserve">TC-SI-550a.2</t>
  </si>
  <si>
    <t xml:space="preserve">Resilience</t>
  </si>
  <si>
    <t xml:space="preserve">Business continuity risk disclosure</t>
  </si>
  <si>
    <t xml:space="preserve">Narrative</t>
  </si>
  <si>
    <t xml:space="preserve">10-K Item 1A — Risk Factors</t>
  </si>
  <si>
    <t xml:space="preserve">Narrative only</t>
  </si>
  <si>
    <t xml:space="preserve">Microsoft fiscal year ends June 30. Environmental metrics from Deloitte limited-assurance Environmental Data Fact Sheets.</t>
  </si>
  <si>
    <t xml:space="preserve">"n/d" indicates data not disclosed at this granularity. See Sources tab.</t>
  </si>
  <si>
    <t xml:space="preserve">SASB DISCLOSURE DATA  |  Merck &amp; Co., Inc. (NYSE: MRK)  |  Sector: Biotechnology &amp; Pharmaceuticals  |  HQ: Rahway, NJ, USA</t>
  </si>
  <si>
    <t xml:space="preserve">SASB Standard: HC-BP | FY2021–FY2024 (calendar year) | USD mn unless stated</t>
  </si>
  <si>
    <t xml:space="preserve">HC-BP</t>
  </si>
  <si>
    <t xml:space="preserve">HC-BP-000</t>
  </si>
  <si>
    <t xml:space="preserve">Strong growth — Keytruda driven</t>
  </si>
  <si>
    <t xml:space="preserve">R&amp;D expenses (GAAP)</t>
  </si>
  <si>
    <t xml:space="preserve">10-K — incl. acquired IPR&amp;D charges</t>
  </si>
  <si>
    <t xml:space="preserve">2023 spike: Prometheus, Daiichi</t>
  </si>
  <si>
    <t xml:space="preserve">10-K — Human Capital section</t>
  </si>
  <si>
    <t xml:space="preserve">~72,000 at end-2023 per Impact Report</t>
  </si>
  <si>
    <t xml:space="preserve">  ▶  Environmental Footprint of Operations</t>
  </si>
  <si>
    <t xml:space="preserve">HC-BP-130a.1</t>
  </si>
  <si>
    <t xml:space="preserve">2024 GHG Assurance Letter (single-year)</t>
  </si>
  <si>
    <t xml:space="preserve">2024 audited only</t>
  </si>
  <si>
    <t xml:space="preserve">Scope 1+2 reduction vs 2019 baseline</t>
  </si>
  <si>
    <t xml:space="preserve">2021/2022 ESG Progress Report</t>
  </si>
  <si>
    <t xml:space="preserve">9% by 2021; 46% by 2030 target</t>
  </si>
  <si>
    <t xml:space="preserve">% purchased electricity from renewables</t>
  </si>
  <si>
    <t xml:space="preserve">2021/2022 ESG Report + 2023/2024 Impact Report</t>
  </si>
  <si>
    <t xml:space="preserve">Target 100% by 2025</t>
  </si>
  <si>
    <t xml:space="preserve">Scope 3 Cat 6 — business travel</t>
  </si>
  <si>
    <t xml:space="preserve">2024 GHG Assurance Letter</t>
  </si>
  <si>
    <t xml:space="preserve">  ▶  Drug Safety</t>
  </si>
  <si>
    <t xml:space="preserve">HC-BP-240a.1</t>
  </si>
  <si>
    <t xml:space="preserve">Drug Safety</t>
  </si>
  <si>
    <t xml:space="preserve">Drug recalls — FDA Class I/II/III</t>
  </si>
  <si>
    <t xml:space="preserve">FDA Enforcement Reports (public DB)</t>
  </si>
  <si>
    <t xml:space="preserve">Not aggregated in Impact Report</t>
  </si>
  <si>
    <t xml:space="preserve">HC-BP-260a.2</t>
  </si>
  <si>
    <t xml:space="preserve">Counterfeit</t>
  </si>
  <si>
    <t xml:space="preserve">Counterfeit drug actions</t>
  </si>
  <si>
    <t xml:space="preserve">10-K + Impact Report</t>
  </si>
  <si>
    <t xml:space="preserve">Not aggregated</t>
  </si>
  <si>
    <t xml:space="preserve">  ▶  R&amp;D Efficiency</t>
  </si>
  <si>
    <t xml:space="preserve">HC-BP-240b.1</t>
  </si>
  <si>
    <t xml:space="preserve">R&amp;D</t>
  </si>
  <si>
    <t xml:space="preserve">R&amp;D as % of revenue (GAAP)</t>
  </si>
  <si>
    <t xml:space="preserve">Computed (R&amp;D ÷ Revenue × 100)</t>
  </si>
  <si>
    <t xml:space="preserve">Highest in big pharma</t>
  </si>
  <si>
    <t xml:space="preserve">  ▶  Supply Chain Management</t>
  </si>
  <si>
    <t xml:space="preserve">HC-BP-430a.3</t>
  </si>
  <si>
    <t xml:space="preserve">Supply Chain</t>
  </si>
  <si>
    <t xml:space="preserve">Spend with small/diverse Tier 1+2 suppliers</t>
  </si>
  <si>
    <t xml:space="preserve">USD bn</t>
  </si>
  <si>
    <t xml:space="preserve">2023/2024 + 2024/2025 Impact Reports</t>
  </si>
  <si>
    <t xml:space="preserve">Good — growing</t>
  </si>
  <si>
    <t xml:space="preserve">  ▶  Workforce &amp; Ethics</t>
  </si>
  <si>
    <t xml:space="preserve">HC-BP-330a.1</t>
  </si>
  <si>
    <t xml:space="preserve">2023/2024 Impact Report</t>
  </si>
  <si>
    <t xml:space="preserve">51% women global (2023)</t>
  </si>
  <si>
    <t xml:space="preserve">HC-BP-310a.1</t>
  </si>
  <si>
    <t xml:space="preserve">Ethics</t>
  </si>
  <si>
    <t xml:space="preserve">% employees completing ethics training</t>
  </si>
  <si>
    <t xml:space="preserve">Excellent — near-universal</t>
  </si>
  <si>
    <t xml:space="preserve">Merck &amp; Co. (NYSE: MRK), known as MSD outside the US/Canada. NOT the same company as Merck KGaA Darmstadt. R&amp;D 2023 includes one-time IPR&amp;D charges.</t>
  </si>
  <si>
    <t xml:space="preserve">SASB DISCLOSURE DATA  |  Walmart Inc.  |  Sector: Food &amp; Staples Retailing  |  HQ: Bentonville, AR, USA</t>
  </si>
  <si>
    <t xml:space="preserve">SASB Standard: FB-FR | FY2021–FY2024 (fiscal year ends Jan 31) | USD mn unless stated</t>
  </si>
  <si>
    <t xml:space="preserve">FB-FR</t>
  </si>
  <si>
    <t xml:space="preserve">FB-FR-000</t>
  </si>
  <si>
    <t xml:space="preserve">Total revenues</t>
  </si>
  <si>
    <t xml:space="preserve">Steady growth</t>
  </si>
  <si>
    <t xml:space="preserve">Number of stores / clubs (year-end)</t>
  </si>
  <si>
    <t xml:space="preserve">10-K — Properties</t>
  </si>
  <si>
    <t xml:space="preserve">Stable global footprint</t>
  </si>
  <si>
    <t xml:space="preserve">Total associates (global)</t>
  </si>
  <si>
    <t xml:space="preserve">M</t>
  </si>
  <si>
    <t xml:space="preserve">10-K + ESG Report</t>
  </si>
  <si>
    <t xml:space="preserve">Right-sized post-pandemic</t>
  </si>
  <si>
    <t xml:space="preserve">  ▶  Energy Management</t>
  </si>
  <si>
    <t xml:space="preserve">FB-FR-130a.1</t>
  </si>
  <si>
    <t xml:space="preserve">Energy</t>
  </si>
  <si>
    <t xml:space="preserve">Scope 1+2 GHG (calendar year)</t>
  </si>
  <si>
    <t xml:space="preserve">MtCO2e</t>
  </si>
  <si>
    <t xml:space="preserve">FY2025 ESG Report + CDP + Trellis update</t>
  </si>
  <si>
    <t xml:space="preserve">Moderate — missing 2025/2030 targets</t>
  </si>
  <si>
    <t xml:space="preserve">Reduction vs 2015 baseline (18.66 MtCO2e)</t>
  </si>
  <si>
    <t xml:space="preserve">FY2025 ESG Report</t>
  </si>
  <si>
    <t xml:space="preserve">Poor — trajectory reversed in 2023-24</t>
  </si>
  <si>
    <t xml:space="preserve">% global electricity from renewables</t>
  </si>
  <si>
    <t xml:space="preserve">Good — near 50% milestone</t>
  </si>
  <si>
    <t xml:space="preserve">% global electricity via renewable contracts</t>
  </si>
  <si>
    <t xml:space="preserve">Most renewable via contracts</t>
  </si>
  <si>
    <t xml:space="preserve">  ▶  Refrigeration &amp; Transport (Scope 1)</t>
  </si>
  <si>
    <t xml:space="preserve">FB-FR-110b.1</t>
  </si>
  <si>
    <t xml:space="preserve">Air Emissions</t>
  </si>
  <si>
    <t xml:space="preserve">Refrigerant share of Scope 1</t>
  </si>
  <si>
    <t xml:space="preserve">High — aging fleet</t>
  </si>
  <si>
    <t xml:space="preserve">FB-FR-110a.1</t>
  </si>
  <si>
    <t xml:space="preserve">Fleet Fuel</t>
  </si>
  <si>
    <t xml:space="preserve">Transport share of Scope 1</t>
  </si>
  <si>
    <t xml:space="preserve">Growing 7% YoY (2024)</t>
  </si>
  <si>
    <t xml:space="preserve">  ▶  Food Sourcing (Scope 3)</t>
  </si>
  <si>
    <t xml:space="preserve">FB-FR-440a.1</t>
  </si>
  <si>
    <t xml:space="preserve">Food Sourcing</t>
  </si>
  <si>
    <t xml:space="preserve">Project Gigaton — cumulative reductions</t>
  </si>
  <si>
    <t xml:space="preserve">M tCO2e</t>
  </si>
  <si>
    <t xml:space="preserve">FY2025 ESG Report; Trellis Feb 2024</t>
  </si>
  <si>
    <t xml:space="preserve">Excellent — gigaton goal hit 6 years early</t>
  </si>
  <si>
    <t xml:space="preserve">  ▶  Packaging Lifecycle</t>
  </si>
  <si>
    <t xml:space="preserve">FB-FR-430a.1</t>
  </si>
  <si>
    <t xml:space="preserve">Packaging</t>
  </si>
  <si>
    <t xml:space="preserve">% private brand packaging designed for recycling</t>
  </si>
  <si>
    <t xml:space="preserve">Single-year (2024)</t>
  </si>
  <si>
    <t xml:space="preserve">FB-FR-310a.3</t>
  </si>
  <si>
    <t xml:space="preserve">Average hourly wage — US frontline</t>
  </si>
  <si>
    <t xml:space="preserve">USD/hr</t>
  </si>
  <si>
    <t xml:space="preserve">~28% higher than 5 yrs ago</t>
  </si>
  <si>
    <t xml:space="preserve">FB-FR-310a.1</t>
  </si>
  <si>
    <t xml:space="preserve">Adjusted pay gap — female : male</t>
  </si>
  <si>
    <t xml:space="preserve">Ratio</t>
  </si>
  <si>
    <t xml:space="preserve">FY2025 ESG Report (since 2023)</t>
  </si>
  <si>
    <t xml:space="preserve">Excellent — equal pay for equal work</t>
  </si>
  <si>
    <t xml:space="preserve">Walmart fiscal year ends Jan 31; ESG metrics reported calendar year. Dec 2024: announced missing 2025/2030 emissions targets.</t>
  </si>
  <si>
    <t xml:space="preserve">TCFD DISCLOSURE DATA  |  JPMorgan Chase &amp; Co. (NYSE: JPM)  |  Sector: Financial Services  |  HQ: New York, NY, USA</t>
  </si>
  <si>
    <t xml:space="preserve">TCFD Framework (4 pillars) | FY2021–FY2024 (calendar year) | USD unless stated</t>
  </si>
  <si>
    <t xml:space="preserve">Pillar</t>
  </si>
  <si>
    <t xml:space="preserve">Recommendation</t>
  </si>
  <si>
    <t xml:space="preserve">Disclosure</t>
  </si>
  <si>
    <t xml:space="preserve">Source / Method</t>
  </si>
  <si>
    <t xml:space="preserve">Financials</t>
  </si>
  <si>
    <t xml:space="preserve">Revenue (managed basis)</t>
  </si>
  <si>
    <t xml:space="preserve">4Q24 Earnings Release + Annual Report</t>
  </si>
  <si>
    <t xml:space="preserve">Record revenue 7 years running</t>
  </si>
  <si>
    <t xml:space="preserve">Total assets</t>
  </si>
  <si>
    <t xml:space="preserve">10-K (year-end)</t>
  </si>
  <si>
    <t xml:space="preserve">Largest US bank</t>
  </si>
  <si>
    <t xml:space="preserve">  ▶  Governance</t>
  </si>
  <si>
    <t xml:space="preserve">Governance</t>
  </si>
  <si>
    <t xml:space="preserve">G-1</t>
  </si>
  <si>
    <t xml:space="preserve">Board oversight</t>
  </si>
  <si>
    <t xml:space="preserve">Board-level climate oversight</t>
  </si>
  <si>
    <t xml:space="preserve">Y/N</t>
  </si>
  <si>
    <t xml:space="preserve">Climate Report — Governance section</t>
  </si>
  <si>
    <t xml:space="preserve">Y</t>
  </si>
  <si>
    <t xml:space="preserve">Excellent — full board oversight</t>
  </si>
  <si>
    <t xml:space="preserve">  ▶  Strategy</t>
  </si>
  <si>
    <t xml:space="preserve">Strategy</t>
  </si>
  <si>
    <t xml:space="preserve">S-2</t>
  </si>
  <si>
    <t xml:space="preserve">Business Impact</t>
  </si>
  <si>
    <t xml:space="preserve">Green finance facilitated — cumulative</t>
  </si>
  <si>
    <t xml:space="preserve">2024 Sustainability Report</t>
  </si>
  <si>
    <t xml:space="preserve">Cumulative since 2021; $1T target by 2030</t>
  </si>
  <si>
    <t xml:space="preserve">Green finance deployed (annual)</t>
  </si>
  <si>
    <t xml:space="preserve">2024 Climate Report</t>
  </si>
  <si>
    <t xml:space="preserve">Annual 2024</t>
  </si>
  <si>
    <t xml:space="preserve">Climate adaptation &amp; resilience deployed</t>
  </si>
  <si>
    <t xml:space="preserve">First year of dedicated tracking</t>
  </si>
  <si>
    <t xml:space="preserve">Energy Supply Financing Ratio (low:high carbon)</t>
  </si>
  <si>
    <t xml:space="preserve">2024 Climate Report — ESFR metric</t>
  </si>
  <si>
    <t xml:space="preserve">Good — net positive low-carbon tilt</t>
  </si>
  <si>
    <t xml:space="preserve">  ▶  Risk Management</t>
  </si>
  <si>
    <t xml:space="preserve">Risk Mgmt</t>
  </si>
  <si>
    <t xml:space="preserve">R-1</t>
  </si>
  <si>
    <t xml:space="preserve">Integration</t>
  </si>
  <si>
    <t xml:space="preserve">Climate risk in credit decisions</t>
  </si>
  <si>
    <t xml:space="preserve">Climate Report 2024 — Risk Management</t>
  </si>
  <si>
    <t xml:space="preserve">Excellent</t>
  </si>
  <si>
    <t xml:space="preserve">  ▶  Metrics &amp; Targets — Operations</t>
  </si>
  <si>
    <t xml:space="preserve">M&amp;T</t>
  </si>
  <si>
    <t xml:space="preserve">M-1</t>
  </si>
  <si>
    <t xml:space="preserve">GHG Metrics</t>
  </si>
  <si>
    <t xml:space="preserve">Scope 1 emissions (operational, audited)</t>
  </si>
  <si>
    <t xml:space="preserve">2023+2024 Operational GHG PDFs (PwC assured)</t>
  </si>
  <si>
    <t xml:space="preserve">Good — 13% down 2023→24</t>
  </si>
  <si>
    <t xml:space="preserve">2023+2024 Operational GHG PDFs (assured)</t>
  </si>
  <si>
    <t xml:space="preserve">Slight decline</t>
  </si>
  <si>
    <t xml:space="preserve">Excellent — near-zero via 100% renewables</t>
  </si>
  <si>
    <t xml:space="preserve">Scope 1+2 (location-based)</t>
  </si>
  <si>
    <t xml:space="preserve">Good — 3.7% down YoY</t>
  </si>
  <si>
    <t xml:space="preserve">Reduction vs 2017 baseline (1.029 MtCO2e)</t>
  </si>
  <si>
    <t xml:space="preserve">2023 Operational GHG PDF</t>
  </si>
  <si>
    <t xml:space="preserve">40%-by-2030 target withdrawn Oct 2025</t>
  </si>
  <si>
    <t xml:space="preserve">2024 not yet in PDF</t>
  </si>
  <si>
    <t xml:space="preserve">Verified carbon offsets retired</t>
  </si>
  <si>
    <t xml:space="preserve">2023+2024 Operational GHG PDFs</t>
  </si>
  <si>
    <t xml:space="preserve">Matches unabated Scope 1+2</t>
  </si>
  <si>
    <t xml:space="preserve">Renewables</t>
  </si>
  <si>
    <t xml:space="preserve">Purchased renewable electricity</t>
  </si>
  <si>
    <t xml:space="preserve">Excellent — 100% renewable</t>
  </si>
  <si>
    <t xml:space="preserve">% electric power from renewable sources</t>
  </si>
  <si>
    <t xml:space="preserve">Excellent — full coverage</t>
  </si>
  <si>
    <t xml:space="preserve">JPMC withdrew 40%-by-2030 operational emissions target in Oct 2025 but kept sector financed-emissions intensity targets and the $1T green finance target. 2017 baseline = 1,029,104 mtCO2e.</t>
  </si>
  <si>
    <t xml:space="preserve">TCFD DISCLOSURE DATA  |  Unilever PLC  |  Sector: Consumer Goods (FMCG)  |  HQ: London, UK</t>
  </si>
  <si>
    <t xml:space="preserve">TCFD Framework (4 pillars) | FY2021–FY2024 (calendar year) | EUR mn unless stated</t>
  </si>
  <si>
    <t xml:space="preserve">Turnover</t>
  </si>
  <si>
    <t xml:space="preserve">EUR mn</t>
  </si>
  <si>
    <t xml:space="preserve">Audited Annual Report</t>
  </si>
  <si>
    <t xml:space="preserve">Stable mid-€60bn range</t>
  </si>
  <si>
    <t xml:space="preserve">Climate Transition Action Plan — AGM vote</t>
  </si>
  <si>
    <t xml:space="preserve">AGM Notice of Meeting 2024</t>
  </si>
  <si>
    <t xml:space="preserve">Excellent — broad shareholder support</t>
  </si>
  <si>
    <t xml:space="preserve">Mfg decarbonisation investment (3-yr)</t>
  </si>
  <si>
    <t xml:space="preserve">2024 CTAP</t>
  </si>
  <si>
    <t xml:space="preserve">Single commitment 2024-2026</t>
  </si>
  <si>
    <t xml:space="preserve">Climate &amp; Nature Fund — cumulative committed</t>
  </si>
  <si>
    <t xml:space="preserve">€1bn total by 2030</t>
  </si>
  <si>
    <t xml:space="preserve">% deforestation-free order volumes (5 commodities)</t>
  </si>
  <si>
    <t xml:space="preserve">Annual Report 2024 — Nature</t>
  </si>
  <si>
    <t xml:space="preserve">Excellent — at-risk commodities</t>
  </si>
  <si>
    <t xml:space="preserve">% key crops sustainably sourced</t>
  </si>
  <si>
    <t xml:space="preserve">Annual Report 2024</t>
  </si>
  <si>
    <t xml:space="preserve">Good</t>
  </si>
  <si>
    <t xml:space="preserve">  ▶  Metrics &amp; Targets — GHG</t>
  </si>
  <si>
    <t xml:space="preserve">Scope 1+2 CO2 (market-based)</t>
  </si>
  <si>
    <t xml:space="preserve">tCO2</t>
  </si>
  <si>
    <t xml:space="preserve">PwC-assured EOS Performance (multi-year)</t>
  </si>
  <si>
    <t xml:space="preserve">2024 expanded baseline</t>
  </si>
  <si>
    <t xml:space="preserve">Scope 1+2 CO2 (location-based)</t>
  </si>
  <si>
    <t xml:space="preserve">Includes biogenic fuels</t>
  </si>
  <si>
    <t xml:space="preserve">Scope 1+2 reduction vs 2015</t>
  </si>
  <si>
    <t xml:space="preserve">2024 CTAP — 70% by 2025 target</t>
  </si>
  <si>
    <t xml:space="preserve">Excellent — target hit 2 yrs early</t>
  </si>
  <si>
    <t xml:space="preserve">Scope 1 (from 2023 split)</t>
  </si>
  <si>
    <t xml:space="preserve">tCO2e</t>
  </si>
  <si>
    <t xml:space="preserve">Annual Report 2024 — climate basis</t>
  </si>
  <si>
    <t xml:space="preserve">Good — 16% down YoY</t>
  </si>
  <si>
    <t xml:space="preserve">Scope 2 (market-based, from 2023 split)</t>
  </si>
  <si>
    <t xml:space="preserve">2024 audited</t>
  </si>
  <si>
    <t xml:space="preserve">Scope 3 — full value chain</t>
  </si>
  <si>
    <t xml:space="preserve">Annual Report 2024 — p.243</t>
  </si>
  <si>
    <t xml:space="preserve">~97% of total footprint</t>
  </si>
  <si>
    <t xml:space="preserve">  ▶  Metrics &amp; Targets — Resources</t>
  </si>
  <si>
    <t xml:space="preserve">M-2</t>
  </si>
  <si>
    <t xml:space="preserve">Energy use per tonne of production</t>
  </si>
  <si>
    <t xml:space="preserve">GJ/te</t>
  </si>
  <si>
    <t xml:space="preserve">PwC-assured EOS Performance</t>
  </si>
  <si>
    <t xml:space="preserve">Good — improving intensity</t>
  </si>
  <si>
    <t xml:space="preserve">Water</t>
  </si>
  <si>
    <t xml:space="preserve">Water abstracted per tonne</t>
  </si>
  <si>
    <t xml:space="preserve">m3/te</t>
  </si>
  <si>
    <t xml:space="preserve">Stable; -48% vs 2008</t>
  </si>
  <si>
    <t xml:space="preserve">Waste</t>
  </si>
  <si>
    <t xml:space="preserve">Hazardous waste per tonne</t>
  </si>
  <si>
    <t xml:space="preserve">kg/te</t>
  </si>
  <si>
    <t xml:space="preserve">Stable</t>
  </si>
  <si>
    <t xml:space="preserve">  ▶  Metrics &amp; Targets — Safety</t>
  </si>
  <si>
    <t xml:space="preserve">M-3</t>
  </si>
  <si>
    <t xml:space="preserve">Safety</t>
  </si>
  <si>
    <t xml:space="preserve">Fatal accidents (workforce)</t>
  </si>
  <si>
    <t xml:space="preserve">Good recovery from 2021 spike</t>
  </si>
  <si>
    <t xml:space="preserve">Total Recordable Frequency Rate (per 1M hrs)</t>
  </si>
  <si>
    <t xml:space="preserve">Rate</t>
  </si>
  <si>
    <t xml:space="preserve">Unilever reports financials in EUR. CTAP approved &gt;97% at 2024 AGM. Ice Cream business (Magnum Ice Cream Company) demerged in 2025; 2024 figures still include it.</t>
  </si>
  <si>
    <t xml:space="preserve">TCFD DISCLOSURE DATA  |  BP p.l.c. (LSE: BP)  |  Sector: Integrated Energy  |  HQ: London, UK</t>
  </si>
  <si>
    <t xml:space="preserve">TCFD Framework (4 pillars) | FY2021–FY2024 (calendar year) | USD mn unless stated</t>
  </si>
  <si>
    <t xml:space="preserve">Sales &amp; other operating revenues</t>
  </si>
  <si>
    <t xml:space="preserve">Annual Report and Form 20-F</t>
  </si>
  <si>
    <t xml:space="preserve">Volatile with oil price</t>
  </si>
  <si>
    <t xml:space="preserve">Operations</t>
  </si>
  <si>
    <t xml:space="preserve">ESG Datasheet 2025 — Social</t>
  </si>
  <si>
    <t xml:space="preserve">Step-up: Archaea + TravelCenters acquisitions</t>
  </si>
  <si>
    <t xml:space="preserve">Upstream unit production cost</t>
  </si>
  <si>
    <t xml:space="preserve">USD/boe</t>
  </si>
  <si>
    <t xml:space="preserve">Annual Report 2024 KPIs</t>
  </si>
  <si>
    <t xml:space="preserve">G-2</t>
  </si>
  <si>
    <t xml:space="preserve">Board diversity</t>
  </si>
  <si>
    <t xml:space="preserve">% women — board of directors</t>
  </si>
  <si>
    <t xml:space="preserve">ESG Datasheet 2025</t>
  </si>
  <si>
    <t xml:space="preserve">Excellent — exceeds Hampton-Alexander</t>
  </si>
  <si>
    <t xml:space="preserve">Workforce diversity</t>
  </si>
  <si>
    <t xml:space="preserve">% female workforce</t>
  </si>
  <si>
    <t xml:space="preserve">Compensation</t>
  </si>
  <si>
    <t xml:space="preserve">Sustainability in annual bonus scorecard</t>
  </si>
  <si>
    <t xml:space="preserve">% weight</t>
  </si>
  <si>
    <t xml:space="preserve">Sustainability Report 2024</t>
  </si>
  <si>
    <t xml:space="preserve">15% of bonus since 2019</t>
  </si>
  <si>
    <t xml:space="preserve">Capital Allocation</t>
  </si>
  <si>
    <t xml:space="preserve">Transition growth investment</t>
  </si>
  <si>
    <t xml:space="preserve">ESG Datasheet 2024 (Deloitte assured)</t>
  </si>
  <si>
    <t xml:space="preserve">Plateau in 2023-24</t>
  </si>
  <si>
    <t xml:space="preserve">S-3</t>
  </si>
  <si>
    <t xml:space="preserve">Net-zero operations aim — target year</t>
  </si>
  <si>
    <t xml:space="preserve">Year</t>
  </si>
  <si>
    <t xml:space="preserve">Annual Report and Form 20-F 2024</t>
  </si>
  <si>
    <t xml:space="preserve">No change</t>
  </si>
  <si>
    <t xml:space="preserve">R-3</t>
  </si>
  <si>
    <t xml:space="preserve">Climate risk in capital allocation</t>
  </si>
  <si>
    <t xml:space="preserve">Annual Report 2024 — TCFD</t>
  </si>
  <si>
    <t xml:space="preserve">Scope 1+2 GHG (operational control)</t>
  </si>
  <si>
    <t xml:space="preserve">ESG Datasheet 2024/2025 (Deloitte assured)</t>
  </si>
  <si>
    <t xml:space="preserve">Good — ~38% below 2019 baseline (54.5)</t>
  </si>
  <si>
    <t xml:space="preserve">Scope 1 direct (operational)</t>
  </si>
  <si>
    <t xml:space="preserve">ESG Datasheet (assured)</t>
  </si>
  <si>
    <t xml:space="preserve">Trending up since 2022</t>
  </si>
  <si>
    <t xml:space="preserve">Scope 2 (market-based, operational)</t>
  </si>
  <si>
    <t xml:space="preserve">Excellent — declining via renewables</t>
  </si>
  <si>
    <t xml:space="preserve">Scope 1 (equity share)</t>
  </si>
  <si>
    <t xml:space="preserve">Includes equity-accounted entities</t>
  </si>
  <si>
    <t xml:space="preserve">Methane intensity (upstream)</t>
  </si>
  <si>
    <t xml:space="preserve">Good — below 0.20% target</t>
  </si>
  <si>
    <t xml:space="preserve">Flaring (upstream)</t>
  </si>
  <si>
    <t xml:space="preserve">kt hydrocarbons</t>
  </si>
  <si>
    <t xml:space="preserve">ESG Datasheet</t>
  </si>
  <si>
    <t xml:space="preserve">Good — 2024 lowest in years</t>
  </si>
  <si>
    <t xml:space="preserve">Lifecycle emissions of sold products</t>
  </si>
  <si>
    <t xml:space="preserve">ESG Datasheet — net zero sales</t>
  </si>
  <si>
    <t xml:space="preserve">Moderate — sales-driven growth</t>
  </si>
  <si>
    <t xml:space="preserve">Avg carbon intensity of sold energy</t>
  </si>
  <si>
    <t xml:space="preserve">gCO2e/MJ</t>
  </si>
  <si>
    <t xml:space="preserve">Slow gradual decarbonization</t>
  </si>
  <si>
    <t xml:space="preserve">  ▶  Metrics &amp; Targets — Energy</t>
  </si>
  <si>
    <t xml:space="preserve">Total energy consumption (operational)</t>
  </si>
  <si>
    <t xml:space="preserve">GWh</t>
  </si>
  <si>
    <t xml:space="preserve">Stable plateau</t>
  </si>
  <si>
    <t xml:space="preserve">Workforce fatalities</t>
  </si>
  <si>
    <t xml:space="preserve">Excellent — zero in 2024</t>
  </si>
  <si>
    <t xml:space="preserve">Tier 1 process safety events</t>
  </si>
  <si>
    <t xml:space="preserve">Excellent — 82% reduction vs 2022</t>
  </si>
  <si>
    <t xml:space="preserve">Tier 2 process safety events</t>
  </si>
  <si>
    <t xml:space="preserve">Moderate — slight 2024 uptick</t>
  </si>
  <si>
    <t xml:space="preserve">Recordable injury frequency</t>
  </si>
  <si>
    <t xml:space="preserve">per 200k hrs</t>
  </si>
  <si>
    <t xml:space="preserve">Poor — RIF nearly doubled</t>
  </si>
  <si>
    <t xml:space="preserve">  ▶  Metrics &amp; Targets — Environment</t>
  </si>
  <si>
    <t xml:space="preserve">M-4</t>
  </si>
  <si>
    <t xml:space="preserve">Spills</t>
  </si>
  <si>
    <t xml:space="preserve">Oil spills ≥1 bbl</t>
  </si>
  <si>
    <t xml:space="preserve">Good — declining</t>
  </si>
  <si>
    <t xml:space="preserve">Loss of primary containment incidents</t>
  </si>
  <si>
    <t xml:space="preserve">Moderate — 2024 uptick</t>
  </si>
  <si>
    <t xml:space="preserve">Total freshwater withdrawal</t>
  </si>
  <si>
    <t xml:space="preserve">M m3</t>
  </si>
  <si>
    <t xml:space="preserve">BP Scope 1+2, methane intensity, fatalities, Tier 1/2 PSE all Deloitte limited-assured. 2019 baseline for Scope 1+2 = 54.5 MtCO2e.</t>
  </si>
  <si>
    <t xml:space="preserve">PRIMARY SOURCES</t>
  </si>
  <si>
    <t xml:space="preserve">Every figure in this workbook is drawn from the documents below.</t>
  </si>
  <si>
    <t xml:space="preserve">Company</t>
  </si>
  <si>
    <t xml:space="preserve">Document</t>
  </si>
  <si>
    <t xml:space="preserve">URL</t>
  </si>
  <si>
    <t xml:space="preserve">What this source covers</t>
  </si>
  <si>
    <t xml:space="preserve">Microsoft</t>
  </si>
  <si>
    <t xml:space="preserve">Form 10-K (FY24)</t>
  </si>
  <si>
    <t xml:space="preserve">https://www.microsoft.com/en-us/investor/sec-filings</t>
  </si>
  <si>
    <t xml:space="preserve">Revenue, R&amp;D, employees FY21-FY24</t>
  </si>
  <si>
    <t xml:space="preserve">Environmental Data Fact Sheet 2024 (Deloitte assured)</t>
  </si>
  <si>
    <t xml:space="preserve">https://cdn-dynmedia-1.microsoft.com/is/content/microsoftcorp/microsoft/msc/documents/presentations/CSR/2024-Environmental-Sustainability-Report-Data-Fact.pdf</t>
  </si>
  <si>
    <t xml:space="preserve">Scope 1/2, energy, water, waste FY20-FY23</t>
  </si>
  <si>
    <t xml:space="preserve">Environmental Data Fact Sheet 2025 (Deloitte assured)</t>
  </si>
  <si>
    <t xml:space="preserve">https://cdn-dynmedia-1.microsoft.com/is/content/microsoftcorp/microsoft/msc/documents/presentations/CSR/2025-Microsoft-Environmental-Data-Fact-Sheet-PDF.pdf</t>
  </si>
  <si>
    <t xml:space="preserve">Multi-year Scope 1/2/3, energy, water FY24 + restated history</t>
  </si>
  <si>
    <t xml:space="preserve">Law Enforcement Requests Reports (biannual)</t>
  </si>
  <si>
    <t xml:space="preserve">https://www.microsoft.com/en-us/corporate-responsibility/reports/government-requests/customer-data</t>
  </si>
  <si>
    <t xml:space="preserve">Govt data requests; H1 2021=27,809, H2 2021=25,182</t>
  </si>
  <si>
    <t xml:space="preserve">Merck &amp; Co.</t>
  </si>
  <si>
    <t xml:space="preserve">Form 10-K (2024)</t>
  </si>
  <si>
    <t xml:space="preserve">https://www.merck.com/investor-relations/</t>
  </si>
  <si>
    <t xml:space="preserve">Revenue, R&amp;D, employees 2021-2024</t>
  </si>
  <si>
    <t xml:space="preserve">https://www.merck.com/wp-content/uploads/sites/124/2026/02/2024-assurance-letter-GHG.pdf</t>
  </si>
  <si>
    <t xml:space="preserve">2024 Scope 1 = 721,200 mtCO2e; Scope 3 Cat 6 = 197,200</t>
  </si>
  <si>
    <t xml:space="preserve">https://www.merck.com/wp-content/uploads/sites/124/2024/08/Merck_ImpactReport_2023-2024.pdf</t>
  </si>
  <si>
    <t xml:space="preserve">Renewable %, supplier spend, workforce, ethics</t>
  </si>
  <si>
    <t xml:space="preserve">2024/2025 Purpose for Progress Impact Report</t>
  </si>
  <si>
    <t xml:space="preserve">https://www.merck.com/stories/merck-publishes-purpose-for-progress-impact-report-2024-2025/</t>
  </si>
  <si>
    <t xml:space="preserve">2024 sustainability metrics</t>
  </si>
  <si>
    <t xml:space="preserve">https://www.merck.com/news/merck-reports-strong-progress-in-esg-focus-areas/</t>
  </si>
  <si>
    <t xml:space="preserve">2021 renewable % = 41; -9% vs 2019 baseline</t>
  </si>
  <si>
    <t xml:space="preserve">Walmart</t>
  </si>
  <si>
    <t xml:space="preserve">Form 10-K (FY24 + FY25)</t>
  </si>
  <si>
    <t xml:space="preserve">https://stock.walmart.com/financial-information/annual-reports</t>
  </si>
  <si>
    <t xml:space="preserve">Revenue, stores, associates FY21-FY25</t>
  </si>
  <si>
    <t xml:space="preserve">FY2025 ESG Report — Delivering Shared Value</t>
  </si>
  <si>
    <t xml:space="preserve">https://corporate.walmart.com/content/dam/corporate/documents/esgreport/2025/FY2025-Walmart-ESG-Report.pdf</t>
  </si>
  <si>
    <t xml:space="preserve">CY2024 Scope 1+2, renewable %, packaging, wage</t>
  </si>
  <si>
    <t xml:space="preserve">Trellis "Walmart misses emissions targets" (Dec 2024)</t>
  </si>
  <si>
    <t xml:space="preserve">https://trellis.net/article/walmart-misses-emissions-reduction-goals/</t>
  </si>
  <si>
    <t xml:space="preserve">CY2023 Scope 1+2 = 15.06 MtCO2e; 19.3% reduction vs 2015</t>
  </si>
  <si>
    <t xml:space="preserve">GlobalData — Walmart 2020 emissions summary</t>
  </si>
  <si>
    <t xml:space="preserve">https://www.globaldata.com/data-insights/retail-amp-wholesale/walmart-greenhouse-gas-emissions-2096354/</t>
  </si>
  <si>
    <t xml:space="preserve">CY2020 Scope 1+2 = 16.43 MtCO2e</t>
  </si>
  <si>
    <t xml:space="preserve">Project Gigaton milestone (Trellis Feb 2024)</t>
  </si>
  <si>
    <t xml:space="preserve">https://trellis.net/article/ceo-doug-mcmillon-walmarts-supply-chain-cut-1-billion-tons-emissions-6-years-ahead-schedule/</t>
  </si>
  <si>
    <t xml:space="preserve">2021 Scope 1+2 ≈ 14M MtCO2e; gigaton hit 2023</t>
  </si>
  <si>
    <t xml:space="preserve">JPMorgan Chase</t>
  </si>
  <si>
    <t xml:space="preserve">https://www.jpmorganchase.com/ir/annual-report</t>
  </si>
  <si>
    <t xml:space="preserve">Revenue, employees, balance sheet</t>
  </si>
  <si>
    <t xml:space="preserve">2023 Operational GHG Emissions PDF (PwC assured)</t>
  </si>
  <si>
    <t xml:space="preserve">https://www.jpmorganchase.com/content/dam/jpmc/jpmorgan-chase-and-co/documents/2023-operational-ghg-emissions-and-electric-power-use.pdf</t>
  </si>
  <si>
    <t xml:space="preserve">2023 audited Scope 1/2; 2017 baseline = 1,029,104</t>
  </si>
  <si>
    <t xml:space="preserve">2024 Operational GHG Emissions PDF (PwC assured)</t>
  </si>
  <si>
    <t xml:space="preserve">https://www.jpmorganchase.com/content/dam/jpmorganchase/documents/2024-operational-ghg-emissions-and-electric-power-use.pdf</t>
  </si>
  <si>
    <t xml:space="preserve">2024 audited Scope 1/2 + electric power</t>
  </si>
  <si>
    <t xml:space="preserve">https://www.jpmorganchase.com/content/dam/jpmorganchase/documents/about/jpmc-sustainability-report-2024.pdf</t>
  </si>
  <si>
    <t xml:space="preserve">$309B green finance, ESFR 1.13, climate adaptation $1bn</t>
  </si>
  <si>
    <t xml:space="preserve">Climate Report 2024</t>
  </si>
  <si>
    <t xml:space="preserve">https://www.jpmorganchase.com/content/dam/jpmc/jpmorgan-chase-and-co/documents/Climate-Report-2024.pdf</t>
  </si>
  <si>
    <t xml:space="preserve">Portfolio-level intensity targets; Energy Mix</t>
  </si>
  <si>
    <t xml:space="preserve">Unilever</t>
  </si>
  <si>
    <t xml:space="preserve">Annual Report and Accounts 2024</t>
  </si>
  <si>
    <t xml:space="preserve">https://www.unilever.com/files/unilever-annual-report-and-accounts-2024.pdf</t>
  </si>
  <si>
    <t xml:space="preserve">Turnover, Scope 1/2/3 emissions, climate metrics</t>
  </si>
  <si>
    <t xml:space="preserve">PwC-assured Environmental &amp; Occupational Safety (EOS) Performance</t>
  </si>
  <si>
    <t xml:space="preserve">https://www.unilever.com/files/f83e1f61-8931-4aec-adb2-a575fd009ed1/assured-unilever-environmental-and-occupational-safety--eos--pdf.pdf</t>
  </si>
  <si>
    <t xml:space="preserve">Multi-year (2021-2023) PwC-assured S1+2, energy, water, waste, safety</t>
  </si>
  <si>
    <t xml:space="preserve">2024 Climate Transition Action Plan (Updated)</t>
  </si>
  <si>
    <t xml:space="preserve">https://www.unilever.com/files/8b5df5f6-cb90-40fd-9691-38d06905d81d/unilever-climate-transition-action-plan-updated-2024.pdf</t>
  </si>
  <si>
    <t xml:space="preserve">Targets, decarbonisation investment, AGM vote</t>
  </si>
  <si>
    <t xml:space="preserve">BP</t>
  </si>
  <si>
    <t xml:space="preserve">https://www.bp.com/content/dam/bp/business-sites/en/global/corporate/pdfs/investors/bp-annual-report-and-form-20f-2024.pdf</t>
  </si>
  <si>
    <t xml:space="preserve">Revenue, employees, production, governance</t>
  </si>
  <si>
    <t xml:space="preserve">https://www.bp.com/content/dam/bp/business-sites/en/global/corporate/pdfs/sustainability/group-reports/bp-esg-datasheet-2024.pdf</t>
  </si>
  <si>
    <t xml:space="preserve">Multi-year (2019-2024) S1+2, methane, flaring, safety</t>
  </si>
  <si>
    <t xml:space="preserve">ESG Datasheet 2025 (Deloitte assured)</t>
  </si>
  <si>
    <t xml:space="preserve">https://www.bp.com/content/dam/bp/business-sites/en/global/corporate/pdfs/sustainability/group-reports/bp-esg-datasheet-2025.pdf</t>
  </si>
  <si>
    <t xml:space="preserve">2025 update + Scope 3 Cat 11 first disclosed</t>
  </si>
  <si>
    <t xml:space="preserve">https://www.bp.com/content/dam/bp/business-sites/en/global/corporate/pdfs/sustainability/group-reports/bp-sustainability-report-2024.pdf</t>
  </si>
  <si>
    <t xml:space="preserve">Strategy, governance, scorecard linkage</t>
  </si>
  <si>
    <t xml:space="preserve">General</t>
  </si>
  <si>
    <t xml:space="preserve">SASB Standards (IFRS Foundation)</t>
  </si>
  <si>
    <t xml:space="preserve">https://sasb.ifrs.org/standards/</t>
  </si>
  <si>
    <t xml:space="preserve">TC-SI, HC-BP, FB-FR industry standards</t>
  </si>
  <si>
    <t xml:space="preserve">TCFD Final Recommendations</t>
  </si>
  <si>
    <t xml:space="preserve">https://www.fsb-tcfd.org/recommendations/</t>
  </si>
  <si>
    <t xml:space="preserve">4-pillar framework: Governance/Strategy/Risk/Metrics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</si>
</sst>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+0.0%;\-0.0%;\-"/>
    <numFmt numFmtId="167" formatCode="#,##0.0"/>
    <numFmt numFmtId="168" formatCode="#,##0.00"/>
    <numFmt numFmtId="169" formatCode="#,##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10"/>
      <color rgb="FF806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FCD5B4"/>
        <bgColor rgb="FFF4CCC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4CCCC"/>
        <bgColor rgb="FFFCD5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F4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microsoft.com/en-us/investor/sec-filings" TargetMode="External"/><Relationship Id="rId2" Type="http://schemas.openxmlformats.org/officeDocument/2006/relationships/hyperlink" Target="https://cdn-dynmedia-1.microsoft.com/is/content/microsoftcorp/microsoft/msc/documents/presentations/CSR/2024-Environmental-Sustainability-Report-Data-Fact.pdf" TargetMode="External"/><Relationship Id="rId3" Type="http://schemas.openxmlformats.org/officeDocument/2006/relationships/hyperlink" Target="https://cdn-dynmedia-1.microsoft.com/is/content/microsoftcorp/microsoft/msc/documents/presentations/CSR/2025-Microsoft-Environmental-Data-Fact-Sheet-PDF.pdf" TargetMode="External"/><Relationship Id="rId4" Type="http://schemas.openxmlformats.org/officeDocument/2006/relationships/hyperlink" Target="https://www.microsoft.com/en-us/corporate-responsibility/reports/government-requests/customer-data" TargetMode="External"/><Relationship Id="rId5" Type="http://schemas.openxmlformats.org/officeDocument/2006/relationships/hyperlink" Target="https://www.merck.com/investor-relations/" TargetMode="External"/><Relationship Id="rId6" Type="http://schemas.openxmlformats.org/officeDocument/2006/relationships/hyperlink" Target="https://www.merck.com/wp-content/uploads/sites/124/2026/02/2024-assurance-letter-GHG.pdf" TargetMode="External"/><Relationship Id="rId7" Type="http://schemas.openxmlformats.org/officeDocument/2006/relationships/hyperlink" Target="https://www.merck.com/wp-content/uploads/sites/124/2024/08/Merck_ImpactReport_2023-2024.pdf" TargetMode="External"/><Relationship Id="rId8" Type="http://schemas.openxmlformats.org/officeDocument/2006/relationships/hyperlink" Target="https://www.merck.com/stories/merck-publishes-purpose-for-progress-impact-report-2024-2025/" TargetMode="External"/><Relationship Id="rId9" Type="http://schemas.openxmlformats.org/officeDocument/2006/relationships/hyperlink" Target="https://www.merck.com/news/merck-reports-strong-progress-in-esg-focus-areas/" TargetMode="External"/><Relationship Id="rId10" Type="http://schemas.openxmlformats.org/officeDocument/2006/relationships/hyperlink" Target="https://stock.walmart.com/financial-information/annual-reports" TargetMode="External"/><Relationship Id="rId11" Type="http://schemas.openxmlformats.org/officeDocument/2006/relationships/hyperlink" Target="https://corporate.walmart.com/content/dam/corporate/documents/esgreport/2025/FY2025-Walmart-ESG-Report.pdf" TargetMode="External"/><Relationship Id="rId12" Type="http://schemas.openxmlformats.org/officeDocument/2006/relationships/hyperlink" Target="https://trellis.net/article/walmart-misses-emissions-reduction-goals/" TargetMode="External"/><Relationship Id="rId13" Type="http://schemas.openxmlformats.org/officeDocument/2006/relationships/hyperlink" Target="https://www.globaldata.com/data-insights/retail-amp-wholesale/walmart-greenhouse-gas-emissions-2096354/" TargetMode="External"/><Relationship Id="rId14" Type="http://schemas.openxmlformats.org/officeDocument/2006/relationships/hyperlink" Target="https://trellis.net/article/ceo-doug-mcmillon-walmarts-supply-chain-cut-1-billion-tons-emissions-6-years-ahead-schedule/" TargetMode="External"/><Relationship Id="rId15" Type="http://schemas.openxmlformats.org/officeDocument/2006/relationships/hyperlink" Target="https://www.jpmorganchase.com/ir/annual-report" TargetMode="External"/><Relationship Id="rId16" Type="http://schemas.openxmlformats.org/officeDocument/2006/relationships/hyperlink" Target="https://www.jpmorganchase.com/content/dam/jpmc/jpmorgan-chase-and-co/documents/2023-operational-ghg-emissions-and-electric-power-use.pdf" TargetMode="External"/><Relationship Id="rId17" Type="http://schemas.openxmlformats.org/officeDocument/2006/relationships/hyperlink" Target="https://www.jpmorganchase.com/content/dam/jpmorganchase/documents/2024-operational-ghg-emissions-and-electric-power-use.pdf" TargetMode="External"/><Relationship Id="rId18" Type="http://schemas.openxmlformats.org/officeDocument/2006/relationships/hyperlink" Target="https://www.jpmorganchase.com/content/dam/jpmorganchase/documents/about/jpmc-sustainability-report-2024.pdf" TargetMode="External"/><Relationship Id="rId19" Type="http://schemas.openxmlformats.org/officeDocument/2006/relationships/hyperlink" Target="https://www.jpmorganchase.com/content/dam/jpmc/jpmorgan-chase-and-co/documents/Climate-Report-2024.pdf" TargetMode="External"/><Relationship Id="rId20" Type="http://schemas.openxmlformats.org/officeDocument/2006/relationships/hyperlink" Target="https://www.unilever.com/files/unilever-annual-report-and-accounts-2024.pdf" TargetMode="External"/><Relationship Id="rId21" Type="http://schemas.openxmlformats.org/officeDocument/2006/relationships/hyperlink" Target="https://www.unilever.com/files/f83e1f61-8931-4aec-adb2-a575fd009ed1/assured-unilever-environmental-and-occupational-safety--eos--pdf.pdf" TargetMode="External"/><Relationship Id="rId22" Type="http://schemas.openxmlformats.org/officeDocument/2006/relationships/hyperlink" Target="https://www.unilever.com/files/8b5df5f6-cb90-40fd-9691-38d06905d81d/unilever-climate-transition-action-plan-updated-2024.pdf" TargetMode="External"/><Relationship Id="rId23" Type="http://schemas.openxmlformats.org/officeDocument/2006/relationships/hyperlink" Target="https://www.bp.com/content/dam/bp/business-sites/en/global/corporate/pdfs/investors/bp-annual-report-and-form-20f-2024.pdf" TargetMode="External"/><Relationship Id="rId24" Type="http://schemas.openxmlformats.org/officeDocument/2006/relationships/hyperlink" Target="https://www.bp.com/content/dam/bp/business-sites/en/global/corporate/pdfs/sustainability/group-reports/bp-esg-datasheet-2024.pdf" TargetMode="External"/><Relationship Id="rId25" Type="http://schemas.openxmlformats.org/officeDocument/2006/relationships/hyperlink" Target="https://www.bp.com/content/dam/bp/business-sites/en/global/corporate/pdfs/sustainability/group-reports/bp-esg-datasheet-2025.pdf" TargetMode="External"/><Relationship Id="rId26" Type="http://schemas.openxmlformats.org/officeDocument/2006/relationships/hyperlink" Target="https://www.bp.com/content/dam/bp/business-sites/en/global/corporate/pdfs/sustainability/group-reports/bp-sustainability-report-2024.pdf" TargetMode="External"/><Relationship Id="rId27" Type="http://schemas.openxmlformats.org/officeDocument/2006/relationships/hyperlink" Target="https://sasb.ifrs.org/standards/" TargetMode="External"/><Relationship Id="rId28" Type="http://schemas.openxmlformats.org/officeDocument/2006/relationships/hyperlink" Target="https://www.fsb-tcfd.org/recommendation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5"/>
  </cols>
  <sheetData>
    <row r="1" customFormat="false" ht="16.1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8" customFormat="false" ht="15" hidden="false" customHeight="false" outlineLevel="0" collapsed="false">
      <c r="A8" s="2" t="s">
        <v>13</v>
      </c>
      <c r="B8" s="3" t="s">
        <v>14</v>
      </c>
    </row>
    <row r="9" customFormat="false" ht="15" hidden="false" customHeight="false" outlineLevel="0" collapsed="false">
      <c r="A9" s="2" t="s">
        <v>15</v>
      </c>
      <c r="B9" s="3" t="s">
        <v>16</v>
      </c>
    </row>
    <row r="10" customFormat="false" ht="15" hidden="false" customHeight="false" outlineLevel="0" collapsed="false">
      <c r="A10" s="2" t="s">
        <v>17</v>
      </c>
      <c r="B10" s="3" t="s">
        <v>18</v>
      </c>
    </row>
    <row r="11" customFormat="false" ht="23.85" hidden="false" customHeight="false" outlineLevel="0" collapsed="false">
      <c r="A11" s="2" t="s">
        <v>19</v>
      </c>
      <c r="B11" s="3" t="s">
        <v>20</v>
      </c>
    </row>
    <row r="12" customFormat="false" ht="15" hidden="false" customHeight="false" outlineLevel="0" collapsed="false">
      <c r="A12" s="2" t="s">
        <v>21</v>
      </c>
      <c r="B12" s="3" t="s">
        <v>22</v>
      </c>
    </row>
    <row r="13" customFormat="false" ht="15" hidden="false" customHeight="false" outlineLevel="0" collapsed="false">
      <c r="A13" s="2" t="s">
        <v>23</v>
      </c>
      <c r="B13" s="3" t="s">
        <v>24</v>
      </c>
    </row>
    <row r="14" customFormat="false" ht="15" hidden="false" customHeight="false" outlineLevel="0" collapsed="false">
      <c r="A14" s="2" t="s">
        <v>25</v>
      </c>
      <c r="B14" s="3" t="s">
        <v>26</v>
      </c>
    </row>
    <row r="15" customFormat="false" ht="15" hidden="false" customHeight="false" outlineLevel="0" collapsed="false">
      <c r="A15" s="2" t="s">
        <v>27</v>
      </c>
      <c r="B15" s="3" t="s">
        <v>28</v>
      </c>
    </row>
    <row r="16" customFormat="false" ht="15" hidden="false" customHeight="false" outlineLevel="0" collapsed="false">
      <c r="A16" s="2" t="s">
        <v>29</v>
      </c>
      <c r="B16" s="3" t="s">
        <v>30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13" min="7" style="0" width="11"/>
    <col collapsed="false" customWidth="true" hidden="false" outlineLevel="0" max="14" min="14" style="0" width="30"/>
  </cols>
  <sheetData>
    <row r="1" customFormat="false" ht="21.7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4" t="s">
        <v>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31.5" hidden="false" customHeight="true" outlineLevel="0" collapsed="false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5" t="s">
        <v>42</v>
      </c>
      <c r="K3" s="5" t="s">
        <v>43</v>
      </c>
      <c r="L3" s="5" t="s">
        <v>44</v>
      </c>
      <c r="M3" s="5" t="s">
        <v>45</v>
      </c>
      <c r="N3" s="5" t="s">
        <v>46</v>
      </c>
    </row>
    <row r="4" customFormat="false" ht="15" hidden="false" customHeight="true" outlineLevel="0" collapsed="false">
      <c r="A4" s="6" t="s">
        <v>47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Format="false" ht="15" hidden="false" customHeight="false" outlineLevel="0" collapsed="false">
      <c r="A5" s="7" t="s">
        <v>48</v>
      </c>
      <c r="B5" s="7" t="s">
        <v>49</v>
      </c>
      <c r="C5" s="7" t="s">
        <v>50</v>
      </c>
      <c r="D5" s="8" t="s">
        <v>51</v>
      </c>
      <c r="E5" s="7" t="s">
        <v>52</v>
      </c>
      <c r="F5" s="8" t="s">
        <v>53</v>
      </c>
      <c r="G5" s="9" t="n">
        <v>168088</v>
      </c>
      <c r="H5" s="9" t="n">
        <v>198270</v>
      </c>
      <c r="I5" s="9" t="n">
        <v>211915</v>
      </c>
      <c r="J5" s="9" t="n">
        <v>245122</v>
      </c>
      <c r="K5" s="10" t="n">
        <f aca="false">IFERROR((H5-G5)/G5,"—")</f>
        <v>0.179560706296702</v>
      </c>
      <c r="L5" s="10" t="n">
        <f aca="false">IFERROR((I5-H5)/H5,"—")</f>
        <v>0.0688202955565643</v>
      </c>
      <c r="M5" s="10" t="n">
        <f aca="false">IFERROR((J5-I5)/I5,"—")</f>
        <v>0.156699620130713</v>
      </c>
      <c r="N5" s="8" t="s">
        <v>54</v>
      </c>
    </row>
    <row r="6" customFormat="false" ht="23.85" hidden="false" customHeight="false" outlineLevel="0" collapsed="false">
      <c r="A6" s="7" t="s">
        <v>48</v>
      </c>
      <c r="B6" s="7" t="s">
        <v>49</v>
      </c>
      <c r="C6" s="7" t="s">
        <v>50</v>
      </c>
      <c r="D6" s="8" t="s">
        <v>55</v>
      </c>
      <c r="E6" s="7" t="s">
        <v>52</v>
      </c>
      <c r="F6" s="8" t="s">
        <v>56</v>
      </c>
      <c r="G6" s="9" t="n">
        <v>20716</v>
      </c>
      <c r="H6" s="9" t="n">
        <v>24512</v>
      </c>
      <c r="I6" s="9" t="n">
        <v>27195</v>
      </c>
      <c r="J6" s="9" t="n">
        <v>29510</v>
      </c>
      <c r="K6" s="10" t="n">
        <f aca="false">IFERROR((H6-G6)/G6,"—")</f>
        <v>0.183240007723499</v>
      </c>
      <c r="L6" s="10" t="n">
        <f aca="false">IFERROR((I6-H6)/H6,"—")</f>
        <v>0.109456592689295</v>
      </c>
      <c r="M6" s="10" t="n">
        <f aca="false">IFERROR((J6-I6)/I6,"—")</f>
        <v>0.0851259422687994</v>
      </c>
      <c r="N6" s="8" t="s">
        <v>57</v>
      </c>
    </row>
    <row r="7" customFormat="false" ht="15" hidden="false" customHeight="false" outlineLevel="0" collapsed="false">
      <c r="A7" s="7" t="s">
        <v>48</v>
      </c>
      <c r="B7" s="7" t="s">
        <v>49</v>
      </c>
      <c r="C7" s="7" t="s">
        <v>50</v>
      </c>
      <c r="D7" s="8" t="s">
        <v>58</v>
      </c>
      <c r="E7" s="7" t="s">
        <v>59</v>
      </c>
      <c r="F7" s="8" t="s">
        <v>60</v>
      </c>
      <c r="G7" s="9" t="n">
        <v>181000</v>
      </c>
      <c r="H7" s="9" t="n">
        <v>221000</v>
      </c>
      <c r="I7" s="9" t="n">
        <v>221000</v>
      </c>
      <c r="J7" s="9" t="n">
        <v>228000</v>
      </c>
      <c r="K7" s="10" t="n">
        <f aca="false">IFERROR((H7-G7)/G7,"—")</f>
        <v>0.220994475138122</v>
      </c>
      <c r="L7" s="10" t="n">
        <f aca="false">IFERROR((I7-H7)/H7,"—")</f>
        <v>0</v>
      </c>
      <c r="M7" s="10" t="n">
        <f aca="false">IFERROR((J7-I7)/I7,"—")</f>
        <v>0.0316742081447964</v>
      </c>
      <c r="N7" s="8"/>
    </row>
    <row r="8" customFormat="false" ht="15" hidden="false" customHeight="true" outlineLevel="0" collapsed="false">
      <c r="A8" s="6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23.85" hidden="false" customHeight="false" outlineLevel="0" collapsed="false">
      <c r="A9" s="7" t="s">
        <v>48</v>
      </c>
      <c r="B9" s="7" t="s">
        <v>62</v>
      </c>
      <c r="C9" s="7" t="s">
        <v>63</v>
      </c>
      <c r="D9" s="8" t="s">
        <v>64</v>
      </c>
      <c r="E9" s="7" t="s">
        <v>65</v>
      </c>
      <c r="F9" s="8" t="s">
        <v>66</v>
      </c>
      <c r="G9" s="9" t="n">
        <v>14133987</v>
      </c>
      <c r="H9" s="9" t="n">
        <v>18644872</v>
      </c>
      <c r="I9" s="9" t="n">
        <v>24007868</v>
      </c>
      <c r="J9" s="9" t="n">
        <v>30207220</v>
      </c>
      <c r="K9" s="10" t="n">
        <f aca="false">IFERROR((H9-G9)/G9,"—")</f>
        <v>0.319151630746512</v>
      </c>
      <c r="L9" s="10" t="n">
        <f aca="false">IFERROR((I9-H9)/H9,"—")</f>
        <v>0.28763919645037</v>
      </c>
      <c r="M9" s="10" t="n">
        <f aca="false">IFERROR((J9-I9)/I9,"—")</f>
        <v>0.258221679659352</v>
      </c>
      <c r="N9" s="11" t="s">
        <v>67</v>
      </c>
    </row>
    <row r="10" customFormat="false" ht="23.85" hidden="false" customHeight="false" outlineLevel="0" collapsed="false">
      <c r="A10" s="7" t="s">
        <v>48</v>
      </c>
      <c r="B10" s="7" t="s">
        <v>62</v>
      </c>
      <c r="C10" s="7" t="s">
        <v>63</v>
      </c>
      <c r="D10" s="8" t="s">
        <v>68</v>
      </c>
      <c r="E10" s="7" t="s">
        <v>69</v>
      </c>
      <c r="F10" s="8" t="s">
        <v>70</v>
      </c>
      <c r="G10" s="9" t="n">
        <v>100</v>
      </c>
      <c r="H10" s="9" t="n">
        <v>100</v>
      </c>
      <c r="I10" s="9" t="n">
        <v>100</v>
      </c>
      <c r="J10" s="9" t="n">
        <v>100</v>
      </c>
      <c r="K10" s="10" t="n">
        <f aca="false">IFERROR((H10-G10)/G10,"—")</f>
        <v>0</v>
      </c>
      <c r="L10" s="10" t="n">
        <f aca="false">IFERROR((I10-H10)/H10,"—")</f>
        <v>0</v>
      </c>
      <c r="M10" s="10" t="n">
        <f aca="false">IFERROR((J10-I10)/I10,"—")</f>
        <v>0</v>
      </c>
      <c r="N10" s="12" t="s">
        <v>71</v>
      </c>
    </row>
    <row r="11" customFormat="false" ht="15" hidden="false" customHeight="false" outlineLevel="0" collapsed="false">
      <c r="A11" s="7" t="s">
        <v>48</v>
      </c>
      <c r="B11" s="7" t="s">
        <v>62</v>
      </c>
      <c r="C11" s="7" t="s">
        <v>63</v>
      </c>
      <c r="D11" s="8" t="s">
        <v>72</v>
      </c>
      <c r="E11" s="7" t="s">
        <v>69</v>
      </c>
      <c r="F11" s="8" t="s">
        <v>70</v>
      </c>
      <c r="G11" s="13" t="s">
        <v>73</v>
      </c>
      <c r="H11" s="14" t="n">
        <v>62</v>
      </c>
      <c r="I11" s="14" t="n">
        <v>59</v>
      </c>
      <c r="J11" s="14" t="n">
        <v>78</v>
      </c>
      <c r="K11" s="13" t="s">
        <v>74</v>
      </c>
      <c r="L11" s="10" t="n">
        <f aca="false">IFERROR((I11-H11)/H11,"—")</f>
        <v>-0.0483870967741936</v>
      </c>
      <c r="M11" s="10" t="n">
        <f aca="false">IFERROR((J11-I11)/I11,"—")</f>
        <v>0.322033898305085</v>
      </c>
      <c r="N11" s="15" t="s">
        <v>75</v>
      </c>
    </row>
    <row r="12" customFormat="false" ht="23.85" hidden="false" customHeight="false" outlineLevel="0" collapsed="false">
      <c r="A12" s="7" t="s">
        <v>48</v>
      </c>
      <c r="B12" s="7" t="s">
        <v>62</v>
      </c>
      <c r="C12" s="7" t="s">
        <v>63</v>
      </c>
      <c r="D12" s="8" t="s">
        <v>76</v>
      </c>
      <c r="E12" s="7" t="s">
        <v>77</v>
      </c>
      <c r="F12" s="8" t="s">
        <v>78</v>
      </c>
      <c r="G12" s="9" t="n">
        <v>123704</v>
      </c>
      <c r="H12" s="9" t="n">
        <v>139413</v>
      </c>
      <c r="I12" s="9" t="n">
        <v>144960</v>
      </c>
      <c r="J12" s="9" t="n">
        <v>143510</v>
      </c>
      <c r="K12" s="10" t="n">
        <f aca="false">IFERROR((H12-G12)/G12,"—")</f>
        <v>0.126988617991334</v>
      </c>
      <c r="L12" s="10" t="n">
        <f aca="false">IFERROR((I12-H12)/H12,"—")</f>
        <v>0.0397882550407781</v>
      </c>
      <c r="M12" s="10" t="n">
        <f aca="false">IFERROR((J12-I12)/I12,"—")</f>
        <v>-0.0100027593818985</v>
      </c>
      <c r="N12" s="15" t="s">
        <v>79</v>
      </c>
    </row>
    <row r="13" customFormat="false" ht="23.85" hidden="false" customHeight="false" outlineLevel="0" collapsed="false">
      <c r="A13" s="7" t="s">
        <v>48</v>
      </c>
      <c r="B13" s="7" t="s">
        <v>62</v>
      </c>
      <c r="C13" s="7" t="s">
        <v>63</v>
      </c>
      <c r="D13" s="8" t="s">
        <v>80</v>
      </c>
      <c r="E13" s="7" t="s">
        <v>77</v>
      </c>
      <c r="F13" s="8" t="s">
        <v>78</v>
      </c>
      <c r="G13" s="9" t="n">
        <v>429405</v>
      </c>
      <c r="H13" s="9" t="n">
        <v>288029</v>
      </c>
      <c r="I13" s="9" t="n">
        <v>393134</v>
      </c>
      <c r="J13" s="9" t="n">
        <v>259090</v>
      </c>
      <c r="K13" s="10" t="n">
        <f aca="false">IFERROR((H13-G13)/G13,"—")</f>
        <v>-0.329236967431679</v>
      </c>
      <c r="L13" s="10" t="n">
        <f aca="false">IFERROR((I13-H13)/H13,"—")</f>
        <v>0.364911172138917</v>
      </c>
      <c r="M13" s="10" t="n">
        <f aca="false">IFERROR((J13-I13)/I13,"—")</f>
        <v>-0.340962623431197</v>
      </c>
      <c r="N13" s="12" t="s">
        <v>81</v>
      </c>
    </row>
    <row r="14" customFormat="false" ht="23.85" hidden="false" customHeight="false" outlineLevel="0" collapsed="false">
      <c r="A14" s="7" t="s">
        <v>48</v>
      </c>
      <c r="B14" s="7" t="s">
        <v>62</v>
      </c>
      <c r="C14" s="7" t="s">
        <v>63</v>
      </c>
      <c r="D14" s="8" t="s">
        <v>82</v>
      </c>
      <c r="E14" s="7" t="s">
        <v>77</v>
      </c>
      <c r="F14" s="8" t="s">
        <v>78</v>
      </c>
      <c r="G14" s="9" t="n">
        <v>5010667</v>
      </c>
      <c r="H14" s="9" t="n">
        <v>6381250</v>
      </c>
      <c r="I14" s="9" t="n">
        <v>8077403</v>
      </c>
      <c r="J14" s="9" t="n">
        <v>9955368</v>
      </c>
      <c r="K14" s="10" t="n">
        <f aca="false">IFERROR((H14-G14)/G14,"—")</f>
        <v>0.273533044602645</v>
      </c>
      <c r="L14" s="10" t="n">
        <f aca="false">IFERROR((I14-H14)/H14,"—")</f>
        <v>0.265802624877571</v>
      </c>
      <c r="M14" s="10" t="n">
        <f aca="false">IFERROR((J14-I14)/I14,"—")</f>
        <v>0.232496137681876</v>
      </c>
      <c r="N14" s="11" t="s">
        <v>83</v>
      </c>
    </row>
    <row r="15" customFormat="false" ht="15" hidden="false" customHeight="false" outlineLevel="0" collapsed="false">
      <c r="A15" s="7" t="s">
        <v>48</v>
      </c>
      <c r="B15" s="7" t="s">
        <v>84</v>
      </c>
      <c r="C15" s="7" t="s">
        <v>63</v>
      </c>
      <c r="D15" s="8" t="s">
        <v>85</v>
      </c>
      <c r="E15" s="7" t="s">
        <v>86</v>
      </c>
      <c r="F15" s="8" t="s">
        <v>87</v>
      </c>
      <c r="G15" s="9" t="n">
        <v>8068</v>
      </c>
      <c r="H15" s="9" t="n">
        <v>10706</v>
      </c>
      <c r="I15" s="9" t="n">
        <v>12951</v>
      </c>
      <c r="J15" s="9" t="n">
        <v>10377</v>
      </c>
      <c r="K15" s="10" t="n">
        <f aca="false">IFERROR((H15-G15)/G15,"—")</f>
        <v>0.326970748636589</v>
      </c>
      <c r="L15" s="10" t="n">
        <f aca="false">IFERROR((I15-H15)/H15,"—")</f>
        <v>0.209695497851672</v>
      </c>
      <c r="M15" s="10" t="n">
        <f aca="false">IFERROR((J15-I15)/I15,"—")</f>
        <v>-0.198749131341209</v>
      </c>
      <c r="N15" s="11" t="s">
        <v>88</v>
      </c>
    </row>
    <row r="16" customFormat="false" ht="15" hidden="false" customHeight="false" outlineLevel="0" collapsed="false">
      <c r="A16" s="7" t="s">
        <v>48</v>
      </c>
      <c r="B16" s="7" t="s">
        <v>84</v>
      </c>
      <c r="C16" s="7" t="s">
        <v>63</v>
      </c>
      <c r="D16" s="8" t="s">
        <v>89</v>
      </c>
      <c r="E16" s="7" t="s">
        <v>69</v>
      </c>
      <c r="F16" s="8" t="s">
        <v>70</v>
      </c>
      <c r="G16" s="13" t="s">
        <v>73</v>
      </c>
      <c r="H16" s="13" t="s">
        <v>73</v>
      </c>
      <c r="I16" s="14" t="n">
        <v>41</v>
      </c>
      <c r="J16" s="14" t="n">
        <v>46</v>
      </c>
      <c r="K16" s="13" t="s">
        <v>74</v>
      </c>
      <c r="L16" s="13" t="s">
        <v>74</v>
      </c>
      <c r="M16" s="10" t="n">
        <f aca="false">IFERROR((J16-I16)/I16,"—")</f>
        <v>0.121951219512195</v>
      </c>
      <c r="N16" s="11" t="s">
        <v>90</v>
      </c>
    </row>
    <row r="17" customFormat="false" ht="15" hidden="false" customHeight="false" outlineLevel="0" collapsed="false">
      <c r="A17" s="7" t="s">
        <v>48</v>
      </c>
      <c r="B17" s="7" t="s">
        <v>91</v>
      </c>
      <c r="C17" s="7" t="s">
        <v>63</v>
      </c>
      <c r="D17" s="8" t="s">
        <v>92</v>
      </c>
      <c r="E17" s="7" t="s">
        <v>93</v>
      </c>
      <c r="F17" s="8" t="s">
        <v>70</v>
      </c>
      <c r="G17" s="9" t="n">
        <v>22518</v>
      </c>
      <c r="H17" s="9" t="n">
        <v>29596</v>
      </c>
      <c r="I17" s="9" t="n">
        <v>36392</v>
      </c>
      <c r="J17" s="9" t="n">
        <v>41290</v>
      </c>
      <c r="K17" s="10" t="n">
        <f aca="false">IFERROR((H17-G17)/G17,"—")</f>
        <v>0.314326316724398</v>
      </c>
      <c r="L17" s="10" t="n">
        <f aca="false">IFERROR((I17-H17)/H17,"—")</f>
        <v>0.229625625084471</v>
      </c>
      <c r="M17" s="10" t="n">
        <f aca="false">IFERROR((J17-I17)/I17,"—")</f>
        <v>0.134590019784568</v>
      </c>
      <c r="N17" s="11" t="s">
        <v>94</v>
      </c>
    </row>
    <row r="18" customFormat="false" ht="15" hidden="false" customHeight="false" outlineLevel="0" collapsed="false">
      <c r="A18" s="7" t="s">
        <v>48</v>
      </c>
      <c r="B18" s="7" t="s">
        <v>91</v>
      </c>
      <c r="C18" s="7" t="s">
        <v>63</v>
      </c>
      <c r="D18" s="8" t="s">
        <v>95</v>
      </c>
      <c r="E18" s="7" t="s">
        <v>69</v>
      </c>
      <c r="F18" s="8" t="s">
        <v>70</v>
      </c>
      <c r="G18" s="13" t="s">
        <v>73</v>
      </c>
      <c r="H18" s="14" t="n">
        <v>94.4</v>
      </c>
      <c r="I18" s="14" t="n">
        <v>93.9</v>
      </c>
      <c r="J18" s="14" t="n">
        <v>94.8</v>
      </c>
      <c r="K18" s="13" t="s">
        <v>74</v>
      </c>
      <c r="L18" s="10" t="n">
        <f aca="false">IFERROR((I18-H18)/H18,"—")</f>
        <v>-0.00529661016949153</v>
      </c>
      <c r="M18" s="10" t="n">
        <f aca="false">IFERROR((J18-I18)/I18,"—")</f>
        <v>0.00958466453674112</v>
      </c>
      <c r="N18" s="12" t="s">
        <v>96</v>
      </c>
    </row>
    <row r="19" customFormat="false" ht="15" hidden="false" customHeight="true" outlineLevel="0" collapsed="false">
      <c r="A19" s="6" t="s">
        <v>97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customFormat="false" ht="23.85" hidden="false" customHeight="false" outlineLevel="0" collapsed="false">
      <c r="A20" s="7" t="s">
        <v>48</v>
      </c>
      <c r="B20" s="7" t="s">
        <v>98</v>
      </c>
      <c r="C20" s="7" t="s">
        <v>99</v>
      </c>
      <c r="D20" s="8" t="s">
        <v>100</v>
      </c>
      <c r="E20" s="7" t="s">
        <v>59</v>
      </c>
      <c r="F20" s="8" t="s">
        <v>101</v>
      </c>
      <c r="G20" s="9" t="n">
        <v>52991</v>
      </c>
      <c r="H20" s="13" t="s">
        <v>73</v>
      </c>
      <c r="I20" s="13" t="s">
        <v>73</v>
      </c>
      <c r="J20" s="13" t="s">
        <v>73</v>
      </c>
      <c r="K20" s="13" t="s">
        <v>74</v>
      </c>
      <c r="L20" s="13" t="s">
        <v>74</v>
      </c>
      <c r="M20" s="13" t="s">
        <v>74</v>
      </c>
      <c r="N20" s="8" t="s">
        <v>102</v>
      </c>
    </row>
    <row r="21" customFormat="false" ht="15" hidden="false" customHeight="true" outlineLevel="0" collapsed="false">
      <c r="A21" s="6" t="s">
        <v>103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customFormat="false" ht="23.85" hidden="false" customHeight="false" outlineLevel="0" collapsed="false">
      <c r="A22" s="7" t="s">
        <v>48</v>
      </c>
      <c r="B22" s="7" t="s">
        <v>104</v>
      </c>
      <c r="C22" s="7" t="s">
        <v>105</v>
      </c>
      <c r="D22" s="8" t="s">
        <v>106</v>
      </c>
      <c r="E22" s="7" t="s">
        <v>59</v>
      </c>
      <c r="F22" s="8" t="s">
        <v>107</v>
      </c>
      <c r="G22" s="13" t="s">
        <v>73</v>
      </c>
      <c r="H22" s="13" t="s">
        <v>73</v>
      </c>
      <c r="I22" s="13" t="s">
        <v>73</v>
      </c>
      <c r="J22" s="13" t="s">
        <v>73</v>
      </c>
      <c r="K22" s="13" t="s">
        <v>74</v>
      </c>
      <c r="L22" s="13" t="s">
        <v>74</v>
      </c>
      <c r="M22" s="13" t="s">
        <v>74</v>
      </c>
      <c r="N22" s="8" t="s">
        <v>108</v>
      </c>
    </row>
    <row r="23" customFormat="false" ht="15" hidden="false" customHeight="true" outlineLevel="0" collapsed="false">
      <c r="A23" s="6" t="s">
        <v>109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customFormat="false" ht="15" hidden="false" customHeight="false" outlineLevel="0" collapsed="false">
      <c r="A24" s="7" t="s">
        <v>48</v>
      </c>
      <c r="B24" s="7" t="s">
        <v>110</v>
      </c>
      <c r="C24" s="7" t="s">
        <v>111</v>
      </c>
      <c r="D24" s="8" t="s">
        <v>112</v>
      </c>
      <c r="E24" s="7" t="s">
        <v>69</v>
      </c>
      <c r="F24" s="8" t="s">
        <v>113</v>
      </c>
      <c r="G24" s="13" t="s">
        <v>73</v>
      </c>
      <c r="H24" s="13" t="s">
        <v>73</v>
      </c>
      <c r="I24" s="13" t="s">
        <v>73</v>
      </c>
      <c r="J24" s="13" t="s">
        <v>73</v>
      </c>
      <c r="K24" s="13" t="s">
        <v>74</v>
      </c>
      <c r="L24" s="13" t="s">
        <v>74</v>
      </c>
      <c r="M24" s="13" t="s">
        <v>74</v>
      </c>
      <c r="N24" s="8" t="s">
        <v>114</v>
      </c>
    </row>
    <row r="25" customFormat="false" ht="15" hidden="false" customHeight="true" outlineLevel="0" collapsed="false">
      <c r="A25" s="6" t="s">
        <v>115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customFormat="false" ht="15" hidden="false" customHeight="false" outlineLevel="0" collapsed="false">
      <c r="A26" s="7" t="s">
        <v>48</v>
      </c>
      <c r="B26" s="7" t="s">
        <v>116</v>
      </c>
      <c r="C26" s="7" t="s">
        <v>117</v>
      </c>
      <c r="D26" s="8" t="s">
        <v>118</v>
      </c>
      <c r="E26" s="7" t="s">
        <v>119</v>
      </c>
      <c r="F26" s="8" t="s">
        <v>120</v>
      </c>
      <c r="G26" s="13" t="s">
        <v>73</v>
      </c>
      <c r="H26" s="13" t="s">
        <v>73</v>
      </c>
      <c r="I26" s="13" t="s">
        <v>73</v>
      </c>
      <c r="J26" s="13" t="s">
        <v>73</v>
      </c>
      <c r="K26" s="13" t="s">
        <v>74</v>
      </c>
      <c r="L26" s="13" t="s">
        <v>74</v>
      </c>
      <c r="M26" s="13" t="s">
        <v>74</v>
      </c>
      <c r="N26" s="8" t="s">
        <v>121</v>
      </c>
    </row>
    <row r="28" customFormat="false" ht="15" hidden="false" customHeight="false" outlineLevel="0" collapsed="false">
      <c r="A28" s="4" t="s">
        <v>122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customFormat="false" ht="15" hidden="false" customHeight="false" outlineLevel="0" collapsed="false">
      <c r="A29" s="4" t="s">
        <v>123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</sheetData>
  <mergeCells count="10">
    <mergeCell ref="A1:N1"/>
    <mergeCell ref="A2:N2"/>
    <mergeCell ref="A4:N4"/>
    <mergeCell ref="A8:N8"/>
    <mergeCell ref="A19:N19"/>
    <mergeCell ref="A21:N21"/>
    <mergeCell ref="A23:N23"/>
    <mergeCell ref="A25:N25"/>
    <mergeCell ref="A28:N28"/>
    <mergeCell ref="A29:N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13" min="7" style="0" width="11"/>
    <col collapsed="false" customWidth="true" hidden="false" outlineLevel="0" max="14" min="14" style="0" width="30"/>
  </cols>
  <sheetData>
    <row r="1" customFormat="false" ht="21.7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4" t="s">
        <v>125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31.5" hidden="false" customHeight="true" outlineLevel="0" collapsed="false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5" t="s">
        <v>42</v>
      </c>
      <c r="K3" s="5" t="s">
        <v>43</v>
      </c>
      <c r="L3" s="5" t="s">
        <v>44</v>
      </c>
      <c r="M3" s="5" t="s">
        <v>45</v>
      </c>
      <c r="N3" s="5" t="s">
        <v>46</v>
      </c>
    </row>
    <row r="4" customFormat="false" ht="15" hidden="false" customHeight="true" outlineLevel="0" collapsed="false">
      <c r="A4" s="6" t="s">
        <v>47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Format="false" ht="15" hidden="false" customHeight="false" outlineLevel="0" collapsed="false">
      <c r="A5" s="7" t="s">
        <v>126</v>
      </c>
      <c r="B5" s="7" t="s">
        <v>127</v>
      </c>
      <c r="C5" s="7" t="s">
        <v>50</v>
      </c>
      <c r="D5" s="8" t="s">
        <v>51</v>
      </c>
      <c r="E5" s="7" t="s">
        <v>52</v>
      </c>
      <c r="F5" s="8" t="s">
        <v>53</v>
      </c>
      <c r="G5" s="9" t="n">
        <v>48704</v>
      </c>
      <c r="H5" s="9" t="n">
        <v>59283</v>
      </c>
      <c r="I5" s="9" t="n">
        <v>60115</v>
      </c>
      <c r="J5" s="9" t="n">
        <v>64168</v>
      </c>
      <c r="K5" s="10" t="n">
        <f aca="false">IFERROR((H5-G5)/G5,"—")</f>
        <v>0.217210085413929</v>
      </c>
      <c r="L5" s="10" t="n">
        <f aca="false">IFERROR((I5-H5)/H5,"—")</f>
        <v>0.0140343774775231</v>
      </c>
      <c r="M5" s="10" t="n">
        <f aca="false">IFERROR((J5-I5)/I5,"—")</f>
        <v>0.0674207768443816</v>
      </c>
      <c r="N5" s="8" t="s">
        <v>128</v>
      </c>
    </row>
    <row r="6" customFormat="false" ht="15" hidden="false" customHeight="false" outlineLevel="0" collapsed="false">
      <c r="A6" s="7" t="s">
        <v>126</v>
      </c>
      <c r="B6" s="7" t="s">
        <v>127</v>
      </c>
      <c r="C6" s="7" t="s">
        <v>50</v>
      </c>
      <c r="D6" s="8" t="s">
        <v>129</v>
      </c>
      <c r="E6" s="7" t="s">
        <v>52</v>
      </c>
      <c r="F6" s="8" t="s">
        <v>130</v>
      </c>
      <c r="G6" s="9" t="n">
        <v>12245</v>
      </c>
      <c r="H6" s="9" t="n">
        <v>13548</v>
      </c>
      <c r="I6" s="9" t="n">
        <v>30531</v>
      </c>
      <c r="J6" s="9" t="n">
        <v>17938</v>
      </c>
      <c r="K6" s="10" t="n">
        <f aca="false">IFERROR((H6-G6)/G6,"—")</f>
        <v>0.106410779910167</v>
      </c>
      <c r="L6" s="10" t="n">
        <f aca="false">IFERROR((I6-H6)/H6,"—")</f>
        <v>1.25354295837024</v>
      </c>
      <c r="M6" s="10" t="n">
        <f aca="false">IFERROR((J6-I6)/I6,"—")</f>
        <v>-0.412466018145491</v>
      </c>
      <c r="N6" s="8" t="s">
        <v>131</v>
      </c>
    </row>
    <row r="7" customFormat="false" ht="23.85" hidden="false" customHeight="false" outlineLevel="0" collapsed="false">
      <c r="A7" s="7" t="s">
        <v>126</v>
      </c>
      <c r="B7" s="7" t="s">
        <v>127</v>
      </c>
      <c r="C7" s="7" t="s">
        <v>50</v>
      </c>
      <c r="D7" s="8" t="s">
        <v>58</v>
      </c>
      <c r="E7" s="7" t="s">
        <v>59</v>
      </c>
      <c r="F7" s="8" t="s">
        <v>132</v>
      </c>
      <c r="G7" s="9" t="n">
        <v>67500</v>
      </c>
      <c r="H7" s="9" t="n">
        <v>68000</v>
      </c>
      <c r="I7" s="9" t="n">
        <v>72000</v>
      </c>
      <c r="J7" s="9" t="n">
        <v>73000</v>
      </c>
      <c r="K7" s="10" t="n">
        <f aca="false">IFERROR((H7-G7)/G7,"—")</f>
        <v>0.00740740740740741</v>
      </c>
      <c r="L7" s="10" t="n">
        <f aca="false">IFERROR((I7-H7)/H7,"—")</f>
        <v>0.0588235294117647</v>
      </c>
      <c r="M7" s="10" t="n">
        <f aca="false">IFERROR((J7-I7)/I7,"—")</f>
        <v>0.0138888888888889</v>
      </c>
      <c r="N7" s="8" t="s">
        <v>133</v>
      </c>
    </row>
    <row r="8" customFormat="false" ht="15" hidden="false" customHeight="true" outlineLevel="0" collapsed="false">
      <c r="A8" s="6" t="s">
        <v>134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15" hidden="false" customHeight="false" outlineLevel="0" collapsed="false">
      <c r="A9" s="7" t="s">
        <v>126</v>
      </c>
      <c r="B9" s="7" t="s">
        <v>135</v>
      </c>
      <c r="C9" s="7" t="s">
        <v>63</v>
      </c>
      <c r="D9" s="8" t="s">
        <v>76</v>
      </c>
      <c r="E9" s="7" t="s">
        <v>77</v>
      </c>
      <c r="F9" s="8" t="s">
        <v>136</v>
      </c>
      <c r="G9" s="13" t="s">
        <v>73</v>
      </c>
      <c r="H9" s="13" t="s">
        <v>73</v>
      </c>
      <c r="I9" s="13" t="s">
        <v>73</v>
      </c>
      <c r="J9" s="9" t="n">
        <v>721200</v>
      </c>
      <c r="K9" s="13" t="s">
        <v>74</v>
      </c>
      <c r="L9" s="13" t="s">
        <v>74</v>
      </c>
      <c r="M9" s="13" t="s">
        <v>74</v>
      </c>
      <c r="N9" s="8" t="s">
        <v>137</v>
      </c>
    </row>
    <row r="10" customFormat="false" ht="15" hidden="false" customHeight="false" outlineLevel="0" collapsed="false">
      <c r="A10" s="7" t="s">
        <v>126</v>
      </c>
      <c r="B10" s="7" t="s">
        <v>135</v>
      </c>
      <c r="C10" s="7" t="s">
        <v>63</v>
      </c>
      <c r="D10" s="8" t="s">
        <v>138</v>
      </c>
      <c r="E10" s="7" t="s">
        <v>69</v>
      </c>
      <c r="F10" s="8" t="s">
        <v>139</v>
      </c>
      <c r="G10" s="16" t="n">
        <v>9</v>
      </c>
      <c r="H10" s="13" t="s">
        <v>73</v>
      </c>
      <c r="I10" s="13" t="s">
        <v>73</v>
      </c>
      <c r="J10" s="13" t="s">
        <v>73</v>
      </c>
      <c r="K10" s="13" t="s">
        <v>74</v>
      </c>
      <c r="L10" s="13" t="s">
        <v>74</v>
      </c>
      <c r="M10" s="13" t="s">
        <v>74</v>
      </c>
      <c r="N10" s="8" t="s">
        <v>140</v>
      </c>
    </row>
    <row r="11" customFormat="false" ht="23.85" hidden="false" customHeight="false" outlineLevel="0" collapsed="false">
      <c r="A11" s="7" t="s">
        <v>126</v>
      </c>
      <c r="B11" s="7" t="s">
        <v>135</v>
      </c>
      <c r="C11" s="7" t="s">
        <v>63</v>
      </c>
      <c r="D11" s="8" t="s">
        <v>141</v>
      </c>
      <c r="E11" s="7" t="s">
        <v>69</v>
      </c>
      <c r="F11" s="8" t="s">
        <v>142</v>
      </c>
      <c r="G11" s="14" t="n">
        <v>41</v>
      </c>
      <c r="H11" s="13" t="s">
        <v>73</v>
      </c>
      <c r="I11" s="14" t="n">
        <v>57</v>
      </c>
      <c r="J11" s="13" t="s">
        <v>73</v>
      </c>
      <c r="K11" s="13" t="s">
        <v>74</v>
      </c>
      <c r="L11" s="13" t="s">
        <v>74</v>
      </c>
      <c r="M11" s="13" t="s">
        <v>74</v>
      </c>
      <c r="N11" s="8" t="s">
        <v>143</v>
      </c>
    </row>
    <row r="12" customFormat="false" ht="15" hidden="false" customHeight="false" outlineLevel="0" collapsed="false">
      <c r="A12" s="7" t="s">
        <v>126</v>
      </c>
      <c r="B12" s="7" t="s">
        <v>135</v>
      </c>
      <c r="C12" s="7" t="s">
        <v>63</v>
      </c>
      <c r="D12" s="8" t="s">
        <v>144</v>
      </c>
      <c r="E12" s="7" t="s">
        <v>77</v>
      </c>
      <c r="F12" s="8" t="s">
        <v>145</v>
      </c>
      <c r="G12" s="13" t="s">
        <v>73</v>
      </c>
      <c r="H12" s="13" t="s">
        <v>73</v>
      </c>
      <c r="I12" s="13" t="s">
        <v>73</v>
      </c>
      <c r="J12" s="9" t="n">
        <v>197200</v>
      </c>
      <c r="K12" s="13" t="s">
        <v>74</v>
      </c>
      <c r="L12" s="13" t="s">
        <v>74</v>
      </c>
      <c r="M12" s="13" t="s">
        <v>74</v>
      </c>
      <c r="N12" s="8" t="s">
        <v>137</v>
      </c>
    </row>
    <row r="13" customFormat="false" ht="15" hidden="false" customHeight="true" outlineLevel="0" collapsed="false">
      <c r="A13" s="6" t="s">
        <v>146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customFormat="false" ht="15" hidden="false" customHeight="false" outlineLevel="0" collapsed="false">
      <c r="A14" s="7" t="s">
        <v>126</v>
      </c>
      <c r="B14" s="7" t="s">
        <v>147</v>
      </c>
      <c r="C14" s="7" t="s">
        <v>148</v>
      </c>
      <c r="D14" s="8" t="s">
        <v>149</v>
      </c>
      <c r="E14" s="7" t="s">
        <v>59</v>
      </c>
      <c r="F14" s="8" t="s">
        <v>150</v>
      </c>
      <c r="G14" s="13" t="s">
        <v>73</v>
      </c>
      <c r="H14" s="13" t="s">
        <v>73</v>
      </c>
      <c r="I14" s="13" t="s">
        <v>73</v>
      </c>
      <c r="J14" s="13" t="s">
        <v>73</v>
      </c>
      <c r="K14" s="13" t="s">
        <v>74</v>
      </c>
      <c r="L14" s="13" t="s">
        <v>74</v>
      </c>
      <c r="M14" s="13" t="s">
        <v>74</v>
      </c>
      <c r="N14" s="8" t="s">
        <v>151</v>
      </c>
    </row>
    <row r="15" customFormat="false" ht="15" hidden="false" customHeight="false" outlineLevel="0" collapsed="false">
      <c r="A15" s="7" t="s">
        <v>126</v>
      </c>
      <c r="B15" s="7" t="s">
        <v>152</v>
      </c>
      <c r="C15" s="7" t="s">
        <v>153</v>
      </c>
      <c r="D15" s="8" t="s">
        <v>154</v>
      </c>
      <c r="E15" s="7" t="s">
        <v>59</v>
      </c>
      <c r="F15" s="8" t="s">
        <v>155</v>
      </c>
      <c r="G15" s="13" t="s">
        <v>73</v>
      </c>
      <c r="H15" s="13" t="s">
        <v>73</v>
      </c>
      <c r="I15" s="13" t="s">
        <v>73</v>
      </c>
      <c r="J15" s="13" t="s">
        <v>73</v>
      </c>
      <c r="K15" s="13" t="s">
        <v>74</v>
      </c>
      <c r="L15" s="13" t="s">
        <v>74</v>
      </c>
      <c r="M15" s="13" t="s">
        <v>74</v>
      </c>
      <c r="N15" s="8" t="s">
        <v>156</v>
      </c>
    </row>
    <row r="16" customFormat="false" ht="15" hidden="false" customHeight="true" outlineLevel="0" collapsed="false">
      <c r="A16" s="6" t="s">
        <v>157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customFormat="false" ht="15" hidden="false" customHeight="false" outlineLevel="0" collapsed="false">
      <c r="A17" s="7" t="s">
        <v>126</v>
      </c>
      <c r="B17" s="7" t="s">
        <v>158</v>
      </c>
      <c r="C17" s="7" t="s">
        <v>159</v>
      </c>
      <c r="D17" s="8" t="s">
        <v>160</v>
      </c>
      <c r="E17" s="7" t="s">
        <v>69</v>
      </c>
      <c r="F17" s="8" t="s">
        <v>161</v>
      </c>
      <c r="G17" s="14" t="n">
        <v>25.1</v>
      </c>
      <c r="H17" s="14" t="n">
        <v>22.9</v>
      </c>
      <c r="I17" s="14" t="n">
        <v>50.8</v>
      </c>
      <c r="J17" s="14" t="n">
        <v>28</v>
      </c>
      <c r="K17" s="10" t="n">
        <f aca="false">IFERROR((H17-G17)/G17,"—")</f>
        <v>-0.0876494023904384</v>
      </c>
      <c r="L17" s="10" t="n">
        <f aca="false">IFERROR((I17-H17)/H17,"—")</f>
        <v>1.21834061135371</v>
      </c>
      <c r="M17" s="10" t="n">
        <f aca="false">IFERROR((J17-I17)/I17,"—")</f>
        <v>-0.448818897637795</v>
      </c>
      <c r="N17" s="8" t="s">
        <v>162</v>
      </c>
    </row>
    <row r="18" customFormat="false" ht="15" hidden="false" customHeight="true" outlineLevel="0" collapsed="false">
      <c r="A18" s="6" t="s">
        <v>163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customFormat="false" ht="15" hidden="false" customHeight="false" outlineLevel="0" collapsed="false">
      <c r="A19" s="7" t="s">
        <v>126</v>
      </c>
      <c r="B19" s="7" t="s">
        <v>164</v>
      </c>
      <c r="C19" s="7" t="s">
        <v>165</v>
      </c>
      <c r="D19" s="8" t="s">
        <v>166</v>
      </c>
      <c r="E19" s="7" t="s">
        <v>167</v>
      </c>
      <c r="F19" s="8" t="s">
        <v>168</v>
      </c>
      <c r="G19" s="13" t="s">
        <v>73</v>
      </c>
      <c r="H19" s="16" t="n">
        <v>3.2</v>
      </c>
      <c r="I19" s="16" t="n">
        <v>3.6</v>
      </c>
      <c r="J19" s="16" t="n">
        <v>4</v>
      </c>
      <c r="K19" s="13" t="s">
        <v>74</v>
      </c>
      <c r="L19" s="10" t="n">
        <f aca="false">IFERROR((I19-H19)/H19,"—")</f>
        <v>0.125</v>
      </c>
      <c r="M19" s="10" t="n">
        <f aca="false">IFERROR((J19-I19)/I19,"—")</f>
        <v>0.111111111111111</v>
      </c>
      <c r="N19" s="15" t="s">
        <v>169</v>
      </c>
    </row>
    <row r="20" customFormat="false" ht="15" hidden="false" customHeight="true" outlineLevel="0" collapsed="false">
      <c r="A20" s="6" t="s">
        <v>170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7" t="s">
        <v>126</v>
      </c>
      <c r="B21" s="7" t="s">
        <v>171</v>
      </c>
      <c r="C21" s="7" t="s">
        <v>111</v>
      </c>
      <c r="D21" s="8" t="s">
        <v>112</v>
      </c>
      <c r="E21" s="7" t="s">
        <v>69</v>
      </c>
      <c r="F21" s="8" t="s">
        <v>172</v>
      </c>
      <c r="G21" s="13" t="s">
        <v>73</v>
      </c>
      <c r="H21" s="13" t="s">
        <v>73</v>
      </c>
      <c r="I21" s="14" t="n">
        <v>51</v>
      </c>
      <c r="J21" s="13" t="s">
        <v>73</v>
      </c>
      <c r="K21" s="13" t="s">
        <v>74</v>
      </c>
      <c r="L21" s="13" t="s">
        <v>74</v>
      </c>
      <c r="M21" s="13" t="s">
        <v>74</v>
      </c>
      <c r="N21" s="8" t="s">
        <v>173</v>
      </c>
    </row>
    <row r="22" customFormat="false" ht="15" hidden="false" customHeight="false" outlineLevel="0" collapsed="false">
      <c r="A22" s="7" t="s">
        <v>126</v>
      </c>
      <c r="B22" s="7" t="s">
        <v>174</v>
      </c>
      <c r="C22" s="7" t="s">
        <v>175</v>
      </c>
      <c r="D22" s="8" t="s">
        <v>176</v>
      </c>
      <c r="E22" s="7" t="s">
        <v>69</v>
      </c>
      <c r="F22" s="8" t="s">
        <v>168</v>
      </c>
      <c r="G22" s="13" t="s">
        <v>73</v>
      </c>
      <c r="H22" s="13" t="s">
        <v>73</v>
      </c>
      <c r="I22" s="14" t="n">
        <v>99</v>
      </c>
      <c r="J22" s="14" t="n">
        <v>99</v>
      </c>
      <c r="K22" s="13" t="s">
        <v>74</v>
      </c>
      <c r="L22" s="13" t="s">
        <v>74</v>
      </c>
      <c r="M22" s="10" t="n">
        <f aca="false">IFERROR((J22-I22)/I22,"—")</f>
        <v>0</v>
      </c>
      <c r="N22" s="12" t="s">
        <v>177</v>
      </c>
    </row>
    <row r="24" customFormat="false" ht="15" hidden="false" customHeight="false" outlineLevel="0" collapsed="false">
      <c r="A24" s="4" t="s">
        <v>178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4" t="s">
        <v>123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</sheetData>
  <mergeCells count="10">
    <mergeCell ref="A1:N1"/>
    <mergeCell ref="A2:N2"/>
    <mergeCell ref="A4:N4"/>
    <mergeCell ref="A8:N8"/>
    <mergeCell ref="A13:N13"/>
    <mergeCell ref="A16:N16"/>
    <mergeCell ref="A18:N18"/>
    <mergeCell ref="A20:N20"/>
    <mergeCell ref="A24:N24"/>
    <mergeCell ref="A25:N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13" min="7" style="0" width="11"/>
    <col collapsed="false" customWidth="true" hidden="false" outlineLevel="0" max="14" min="14" style="0" width="30"/>
  </cols>
  <sheetData>
    <row r="1" customFormat="false" ht="21.75" hidden="false" customHeight="true" outlineLevel="0" collapsed="false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4" t="s">
        <v>180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31.5" hidden="false" customHeight="true" outlineLevel="0" collapsed="false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5" t="s">
        <v>42</v>
      </c>
      <c r="K3" s="5" t="s">
        <v>43</v>
      </c>
      <c r="L3" s="5" t="s">
        <v>44</v>
      </c>
      <c r="M3" s="5" t="s">
        <v>45</v>
      </c>
      <c r="N3" s="5" t="s">
        <v>46</v>
      </c>
    </row>
    <row r="4" customFormat="false" ht="15" hidden="false" customHeight="true" outlineLevel="0" collapsed="false">
      <c r="A4" s="6" t="s">
        <v>47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Format="false" ht="15" hidden="false" customHeight="false" outlineLevel="0" collapsed="false">
      <c r="A5" s="7" t="s">
        <v>181</v>
      </c>
      <c r="B5" s="7" t="s">
        <v>182</v>
      </c>
      <c r="C5" s="7" t="s">
        <v>50</v>
      </c>
      <c r="D5" s="8" t="s">
        <v>183</v>
      </c>
      <c r="E5" s="7" t="s">
        <v>52</v>
      </c>
      <c r="F5" s="8" t="s">
        <v>53</v>
      </c>
      <c r="G5" s="9" t="n">
        <v>559151</v>
      </c>
      <c r="H5" s="9" t="n">
        <v>572754</v>
      </c>
      <c r="I5" s="9" t="n">
        <v>611289</v>
      </c>
      <c r="J5" s="9" t="n">
        <v>648125</v>
      </c>
      <c r="K5" s="10" t="n">
        <f aca="false">IFERROR((H5-G5)/G5,"—")</f>
        <v>0.0243279543450696</v>
      </c>
      <c r="L5" s="10" t="n">
        <f aca="false">IFERROR((I5-H5)/H5,"—")</f>
        <v>0.0672801935909658</v>
      </c>
      <c r="M5" s="10" t="n">
        <f aca="false">IFERROR((J5-I5)/I5,"—")</f>
        <v>0.0602595499019286</v>
      </c>
      <c r="N5" s="8" t="s">
        <v>184</v>
      </c>
    </row>
    <row r="6" customFormat="false" ht="15" hidden="false" customHeight="false" outlineLevel="0" collapsed="false">
      <c r="A6" s="7" t="s">
        <v>181</v>
      </c>
      <c r="B6" s="7" t="s">
        <v>182</v>
      </c>
      <c r="C6" s="7" t="s">
        <v>50</v>
      </c>
      <c r="D6" s="8" t="s">
        <v>185</v>
      </c>
      <c r="E6" s="7" t="s">
        <v>59</v>
      </c>
      <c r="F6" s="8" t="s">
        <v>186</v>
      </c>
      <c r="G6" s="9" t="n">
        <v>10593</v>
      </c>
      <c r="H6" s="9" t="n">
        <v>10585</v>
      </c>
      <c r="I6" s="9" t="n">
        <v>10623</v>
      </c>
      <c r="J6" s="9" t="n">
        <v>10616</v>
      </c>
      <c r="K6" s="10" t="n">
        <f aca="false">IFERROR((H6-G6)/G6,"—")</f>
        <v>-0.000755215708486737</v>
      </c>
      <c r="L6" s="10" t="n">
        <f aca="false">IFERROR((I6-H6)/H6,"—")</f>
        <v>0.00358998582900331</v>
      </c>
      <c r="M6" s="10" t="n">
        <f aca="false">IFERROR((J6-I6)/I6,"—")</f>
        <v>-0.000658947566600772</v>
      </c>
      <c r="N6" s="8" t="s">
        <v>187</v>
      </c>
    </row>
    <row r="7" customFormat="false" ht="15" hidden="false" customHeight="false" outlineLevel="0" collapsed="false">
      <c r="A7" s="7" t="s">
        <v>181</v>
      </c>
      <c r="B7" s="7" t="s">
        <v>182</v>
      </c>
      <c r="C7" s="7" t="s">
        <v>50</v>
      </c>
      <c r="D7" s="8" t="s">
        <v>188</v>
      </c>
      <c r="E7" s="7" t="s">
        <v>189</v>
      </c>
      <c r="F7" s="8" t="s">
        <v>190</v>
      </c>
      <c r="G7" s="16" t="n">
        <v>2.3</v>
      </c>
      <c r="H7" s="16" t="n">
        <v>2.3</v>
      </c>
      <c r="I7" s="16" t="n">
        <v>2.1</v>
      </c>
      <c r="J7" s="16" t="n">
        <v>2.1</v>
      </c>
      <c r="K7" s="10" t="n">
        <f aca="false">IFERROR((H7-G7)/G7,"—")</f>
        <v>0</v>
      </c>
      <c r="L7" s="10" t="n">
        <f aca="false">IFERROR((I7-H7)/H7,"—")</f>
        <v>-0.0869565217391303</v>
      </c>
      <c r="M7" s="10" t="n">
        <f aca="false">IFERROR((J7-I7)/I7,"—")</f>
        <v>0</v>
      </c>
      <c r="N7" s="8" t="s">
        <v>191</v>
      </c>
    </row>
    <row r="8" customFormat="false" ht="15" hidden="false" customHeight="true" outlineLevel="0" collapsed="false">
      <c r="A8" s="6" t="s">
        <v>192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23.85" hidden="false" customHeight="false" outlineLevel="0" collapsed="false">
      <c r="A9" s="7" t="s">
        <v>181</v>
      </c>
      <c r="B9" s="7" t="s">
        <v>193</v>
      </c>
      <c r="C9" s="7" t="s">
        <v>194</v>
      </c>
      <c r="D9" s="8" t="s">
        <v>195</v>
      </c>
      <c r="E9" s="7" t="s">
        <v>196</v>
      </c>
      <c r="F9" s="8" t="s">
        <v>197</v>
      </c>
      <c r="G9" s="14" t="n">
        <v>14</v>
      </c>
      <c r="H9" s="14" t="n">
        <v>14.2</v>
      </c>
      <c r="I9" s="14" t="n">
        <v>15.06</v>
      </c>
      <c r="J9" s="14" t="n">
        <v>15.65</v>
      </c>
      <c r="K9" s="10" t="n">
        <f aca="false">IFERROR((H9-G9)/G9,"—")</f>
        <v>0.0142857142857142</v>
      </c>
      <c r="L9" s="10" t="n">
        <f aca="false">IFERROR((I9-H9)/H9,"—")</f>
        <v>0.0605633802816902</v>
      </c>
      <c r="M9" s="10" t="n">
        <f aca="false">IFERROR((J9-I9)/I9,"—")</f>
        <v>0.0391766268260292</v>
      </c>
      <c r="N9" s="11" t="s">
        <v>198</v>
      </c>
    </row>
    <row r="10" customFormat="false" ht="23.85" hidden="false" customHeight="false" outlineLevel="0" collapsed="false">
      <c r="A10" s="7" t="s">
        <v>181</v>
      </c>
      <c r="B10" s="7" t="s">
        <v>193</v>
      </c>
      <c r="C10" s="7" t="s">
        <v>194</v>
      </c>
      <c r="D10" s="8" t="s">
        <v>199</v>
      </c>
      <c r="E10" s="7" t="s">
        <v>69</v>
      </c>
      <c r="F10" s="8" t="s">
        <v>200</v>
      </c>
      <c r="G10" s="14" t="n">
        <v>25</v>
      </c>
      <c r="H10" s="14" t="n">
        <v>23.9</v>
      </c>
      <c r="I10" s="14" t="n">
        <v>19.3</v>
      </c>
      <c r="J10" s="14" t="n">
        <v>18.1</v>
      </c>
      <c r="K10" s="10" t="n">
        <f aca="false">IFERROR((H10-G10)/G10,"—")</f>
        <v>-0.0440000000000001</v>
      </c>
      <c r="L10" s="10" t="n">
        <f aca="false">IFERROR((I10-H10)/H10,"—")</f>
        <v>-0.192468619246862</v>
      </c>
      <c r="M10" s="10" t="n">
        <f aca="false">IFERROR((J10-I10)/I10,"—")</f>
        <v>-0.0621761658031088</v>
      </c>
      <c r="N10" s="17" t="s">
        <v>201</v>
      </c>
    </row>
    <row r="11" customFormat="false" ht="15" hidden="false" customHeight="false" outlineLevel="0" collapsed="false">
      <c r="A11" s="7" t="s">
        <v>181</v>
      </c>
      <c r="B11" s="7" t="s">
        <v>193</v>
      </c>
      <c r="C11" s="7" t="s">
        <v>194</v>
      </c>
      <c r="D11" s="8" t="s">
        <v>202</v>
      </c>
      <c r="E11" s="7" t="s">
        <v>69</v>
      </c>
      <c r="F11" s="8" t="s">
        <v>200</v>
      </c>
      <c r="G11" s="13" t="s">
        <v>73</v>
      </c>
      <c r="H11" s="13" t="s">
        <v>73</v>
      </c>
      <c r="I11" s="13" t="s">
        <v>73</v>
      </c>
      <c r="J11" s="14" t="n">
        <v>48.5</v>
      </c>
      <c r="K11" s="13" t="s">
        <v>74</v>
      </c>
      <c r="L11" s="13" t="s">
        <v>74</v>
      </c>
      <c r="M11" s="13" t="s">
        <v>74</v>
      </c>
      <c r="N11" s="15" t="s">
        <v>203</v>
      </c>
    </row>
    <row r="12" customFormat="false" ht="15" hidden="false" customHeight="false" outlineLevel="0" collapsed="false">
      <c r="A12" s="7" t="s">
        <v>181</v>
      </c>
      <c r="B12" s="7" t="s">
        <v>193</v>
      </c>
      <c r="C12" s="7" t="s">
        <v>194</v>
      </c>
      <c r="D12" s="8" t="s">
        <v>204</v>
      </c>
      <c r="E12" s="7" t="s">
        <v>69</v>
      </c>
      <c r="F12" s="8" t="s">
        <v>200</v>
      </c>
      <c r="G12" s="13" t="s">
        <v>73</v>
      </c>
      <c r="H12" s="13" t="s">
        <v>73</v>
      </c>
      <c r="I12" s="13" t="s">
        <v>73</v>
      </c>
      <c r="J12" s="14" t="n">
        <v>30.6</v>
      </c>
      <c r="K12" s="13" t="s">
        <v>74</v>
      </c>
      <c r="L12" s="13" t="s">
        <v>74</v>
      </c>
      <c r="M12" s="13" t="s">
        <v>74</v>
      </c>
      <c r="N12" s="8" t="s">
        <v>205</v>
      </c>
    </row>
    <row r="13" customFormat="false" ht="15" hidden="false" customHeight="true" outlineLevel="0" collapsed="false">
      <c r="A13" s="6" t="s">
        <v>206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customFormat="false" ht="15" hidden="false" customHeight="false" outlineLevel="0" collapsed="false">
      <c r="A14" s="7" t="s">
        <v>181</v>
      </c>
      <c r="B14" s="7" t="s">
        <v>207</v>
      </c>
      <c r="C14" s="7" t="s">
        <v>208</v>
      </c>
      <c r="D14" s="8" t="s">
        <v>209</v>
      </c>
      <c r="E14" s="7" t="s">
        <v>69</v>
      </c>
      <c r="F14" s="8" t="s">
        <v>200</v>
      </c>
      <c r="G14" s="13" t="s">
        <v>73</v>
      </c>
      <c r="H14" s="13" t="s">
        <v>73</v>
      </c>
      <c r="I14" s="13" t="s">
        <v>73</v>
      </c>
      <c r="J14" s="14" t="n">
        <v>57</v>
      </c>
      <c r="K14" s="13" t="s">
        <v>74</v>
      </c>
      <c r="L14" s="13" t="s">
        <v>74</v>
      </c>
      <c r="M14" s="13" t="s">
        <v>74</v>
      </c>
      <c r="N14" s="8" t="s">
        <v>210</v>
      </c>
    </row>
    <row r="15" customFormat="false" ht="15" hidden="false" customHeight="false" outlineLevel="0" collapsed="false">
      <c r="A15" s="7" t="s">
        <v>181</v>
      </c>
      <c r="B15" s="7" t="s">
        <v>211</v>
      </c>
      <c r="C15" s="7" t="s">
        <v>212</v>
      </c>
      <c r="D15" s="8" t="s">
        <v>213</v>
      </c>
      <c r="E15" s="7" t="s">
        <v>69</v>
      </c>
      <c r="F15" s="8" t="s">
        <v>200</v>
      </c>
      <c r="G15" s="13" t="s">
        <v>73</v>
      </c>
      <c r="H15" s="13" t="s">
        <v>73</v>
      </c>
      <c r="I15" s="13" t="s">
        <v>73</v>
      </c>
      <c r="J15" s="14" t="n">
        <v>24.9</v>
      </c>
      <c r="K15" s="13" t="s">
        <v>74</v>
      </c>
      <c r="L15" s="13" t="s">
        <v>74</v>
      </c>
      <c r="M15" s="13" t="s">
        <v>74</v>
      </c>
      <c r="N15" s="8" t="s">
        <v>214</v>
      </c>
    </row>
    <row r="16" customFormat="false" ht="15" hidden="false" customHeight="true" outlineLevel="0" collapsed="false">
      <c r="A16" s="6" t="s">
        <v>215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customFormat="false" ht="23.85" hidden="false" customHeight="false" outlineLevel="0" collapsed="false">
      <c r="A17" s="7" t="s">
        <v>181</v>
      </c>
      <c r="B17" s="7" t="s">
        <v>216</v>
      </c>
      <c r="C17" s="7" t="s">
        <v>217</v>
      </c>
      <c r="D17" s="8" t="s">
        <v>218</v>
      </c>
      <c r="E17" s="7" t="s">
        <v>219</v>
      </c>
      <c r="F17" s="8" t="s">
        <v>220</v>
      </c>
      <c r="G17" s="9" t="n">
        <v>230</v>
      </c>
      <c r="H17" s="9" t="n">
        <v>574</v>
      </c>
      <c r="I17" s="9" t="n">
        <v>750</v>
      </c>
      <c r="J17" s="9" t="n">
        <v>1190</v>
      </c>
      <c r="K17" s="10" t="n">
        <f aca="false">IFERROR((H17-G17)/G17,"—")</f>
        <v>1.49565217391304</v>
      </c>
      <c r="L17" s="10" t="n">
        <f aca="false">IFERROR((I17-H17)/H17,"—")</f>
        <v>0.306620209059233</v>
      </c>
      <c r="M17" s="10" t="n">
        <f aca="false">IFERROR((J17-I17)/I17,"—")</f>
        <v>0.586666666666667</v>
      </c>
      <c r="N17" s="12" t="s">
        <v>221</v>
      </c>
    </row>
    <row r="18" customFormat="false" ht="15" hidden="false" customHeight="true" outlineLevel="0" collapsed="false">
      <c r="A18" s="6" t="s">
        <v>222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customFormat="false" ht="23.85" hidden="false" customHeight="false" outlineLevel="0" collapsed="false">
      <c r="A19" s="7" t="s">
        <v>181</v>
      </c>
      <c r="B19" s="7" t="s">
        <v>223</v>
      </c>
      <c r="C19" s="7" t="s">
        <v>224</v>
      </c>
      <c r="D19" s="8" t="s">
        <v>225</v>
      </c>
      <c r="E19" s="7" t="s">
        <v>69</v>
      </c>
      <c r="F19" s="8" t="s">
        <v>200</v>
      </c>
      <c r="G19" s="13" t="s">
        <v>73</v>
      </c>
      <c r="H19" s="13" t="s">
        <v>73</v>
      </c>
      <c r="I19" s="13" t="s">
        <v>73</v>
      </c>
      <c r="J19" s="14" t="n">
        <v>82</v>
      </c>
      <c r="K19" s="13" t="s">
        <v>74</v>
      </c>
      <c r="L19" s="13" t="s">
        <v>74</v>
      </c>
      <c r="M19" s="13" t="s">
        <v>74</v>
      </c>
      <c r="N19" s="8" t="s">
        <v>226</v>
      </c>
    </row>
    <row r="20" customFormat="false" ht="15" hidden="false" customHeight="true" outlineLevel="0" collapsed="false">
      <c r="A20" s="6" t="s">
        <v>109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7" t="s">
        <v>181</v>
      </c>
      <c r="B21" s="7" t="s">
        <v>227</v>
      </c>
      <c r="C21" s="7" t="s">
        <v>111</v>
      </c>
      <c r="D21" s="8" t="s">
        <v>228</v>
      </c>
      <c r="E21" s="7" t="s">
        <v>229</v>
      </c>
      <c r="F21" s="8" t="s">
        <v>200</v>
      </c>
      <c r="G21" s="13" t="s">
        <v>73</v>
      </c>
      <c r="H21" s="13" t="s">
        <v>73</v>
      </c>
      <c r="I21" s="13" t="s">
        <v>73</v>
      </c>
      <c r="J21" s="14" t="n">
        <v>17.75</v>
      </c>
      <c r="K21" s="13" t="s">
        <v>74</v>
      </c>
      <c r="L21" s="13" t="s">
        <v>74</v>
      </c>
      <c r="M21" s="13" t="s">
        <v>74</v>
      </c>
      <c r="N21" s="8" t="s">
        <v>230</v>
      </c>
    </row>
    <row r="22" customFormat="false" ht="23.85" hidden="false" customHeight="false" outlineLevel="0" collapsed="false">
      <c r="A22" s="7" t="s">
        <v>181</v>
      </c>
      <c r="B22" s="7" t="s">
        <v>231</v>
      </c>
      <c r="C22" s="7" t="s">
        <v>111</v>
      </c>
      <c r="D22" s="8" t="s">
        <v>232</v>
      </c>
      <c r="E22" s="7" t="s">
        <v>233</v>
      </c>
      <c r="F22" s="8" t="s">
        <v>234</v>
      </c>
      <c r="G22" s="13" t="s">
        <v>73</v>
      </c>
      <c r="H22" s="13" t="s">
        <v>73</v>
      </c>
      <c r="I22" s="16" t="n">
        <v>1</v>
      </c>
      <c r="J22" s="16" t="n">
        <v>1</v>
      </c>
      <c r="K22" s="13" t="s">
        <v>74</v>
      </c>
      <c r="L22" s="13" t="s">
        <v>74</v>
      </c>
      <c r="M22" s="10" t="n">
        <f aca="false">IFERROR((J22-I22)/I22,"—")</f>
        <v>0</v>
      </c>
      <c r="N22" s="12" t="s">
        <v>235</v>
      </c>
    </row>
    <row r="24" customFormat="false" ht="15" hidden="false" customHeight="false" outlineLevel="0" collapsed="false">
      <c r="A24" s="4" t="s">
        <v>236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4" t="s">
        <v>123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</sheetData>
  <mergeCells count="10">
    <mergeCell ref="A1:N1"/>
    <mergeCell ref="A2:N2"/>
    <mergeCell ref="A4:N4"/>
    <mergeCell ref="A8:N8"/>
    <mergeCell ref="A13:N13"/>
    <mergeCell ref="A16:N16"/>
    <mergeCell ref="A18:N18"/>
    <mergeCell ref="A20:N20"/>
    <mergeCell ref="A24:N24"/>
    <mergeCell ref="A25:N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13" min="7" style="0" width="11"/>
    <col collapsed="false" customWidth="true" hidden="false" outlineLevel="0" max="14" min="14" style="0" width="30"/>
  </cols>
  <sheetData>
    <row r="1" customFormat="false" ht="21.75" hidden="false" customHeight="true" outlineLevel="0" collapsed="false">
      <c r="A1" s="1" t="s">
        <v>237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4" t="s">
        <v>238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31.5" hidden="false" customHeight="true" outlineLevel="0" collapsed="false">
      <c r="A3" s="5" t="s">
        <v>239</v>
      </c>
      <c r="B3" s="5" t="s">
        <v>240</v>
      </c>
      <c r="C3" s="5" t="s">
        <v>241</v>
      </c>
      <c r="D3" s="5" t="s">
        <v>36</v>
      </c>
      <c r="E3" s="5" t="s">
        <v>37</v>
      </c>
      <c r="F3" s="5" t="s">
        <v>242</v>
      </c>
      <c r="G3" s="5" t="s">
        <v>39</v>
      </c>
      <c r="H3" s="5" t="s">
        <v>40</v>
      </c>
      <c r="I3" s="5" t="s">
        <v>41</v>
      </c>
      <c r="J3" s="5" t="s">
        <v>42</v>
      </c>
      <c r="K3" s="5" t="s">
        <v>43</v>
      </c>
      <c r="L3" s="5" t="s">
        <v>44</v>
      </c>
      <c r="M3" s="5" t="s">
        <v>45</v>
      </c>
      <c r="N3" s="5" t="s">
        <v>46</v>
      </c>
    </row>
    <row r="4" customFormat="false" ht="15" hidden="false" customHeight="true" outlineLevel="0" collapsed="false">
      <c r="A4" s="6" t="s">
        <v>47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Format="false" ht="15" hidden="false" customHeight="false" outlineLevel="0" collapsed="false">
      <c r="A5" s="7" t="s">
        <v>50</v>
      </c>
      <c r="B5" s="7" t="s">
        <v>74</v>
      </c>
      <c r="C5" s="7" t="s">
        <v>243</v>
      </c>
      <c r="D5" s="8" t="s">
        <v>244</v>
      </c>
      <c r="E5" s="7" t="s">
        <v>52</v>
      </c>
      <c r="F5" s="8" t="s">
        <v>245</v>
      </c>
      <c r="G5" s="13" t="s">
        <v>73</v>
      </c>
      <c r="H5" s="13" t="s">
        <v>73</v>
      </c>
      <c r="I5" s="9" t="n">
        <v>154944</v>
      </c>
      <c r="J5" s="9" t="n">
        <v>180600</v>
      </c>
      <c r="K5" s="13" t="s">
        <v>74</v>
      </c>
      <c r="L5" s="13" t="s">
        <v>74</v>
      </c>
      <c r="M5" s="10" t="n">
        <f aca="false">IFERROR((J5-I5)/I5,"—")</f>
        <v>0.165582403965304</v>
      </c>
      <c r="N5" s="8" t="s">
        <v>246</v>
      </c>
    </row>
    <row r="6" customFormat="false" ht="15" hidden="false" customHeight="false" outlineLevel="0" collapsed="false">
      <c r="A6" s="7" t="s">
        <v>50</v>
      </c>
      <c r="B6" s="7" t="s">
        <v>74</v>
      </c>
      <c r="C6" s="7" t="s">
        <v>243</v>
      </c>
      <c r="D6" s="8" t="s">
        <v>247</v>
      </c>
      <c r="E6" s="7" t="s">
        <v>167</v>
      </c>
      <c r="F6" s="8" t="s">
        <v>248</v>
      </c>
      <c r="G6" s="13" t="s">
        <v>73</v>
      </c>
      <c r="H6" s="13" t="s">
        <v>73</v>
      </c>
      <c r="I6" s="9" t="n">
        <v>3875</v>
      </c>
      <c r="J6" s="9" t="n">
        <v>4000</v>
      </c>
      <c r="K6" s="13" t="s">
        <v>74</v>
      </c>
      <c r="L6" s="13" t="s">
        <v>74</v>
      </c>
      <c r="M6" s="10" t="n">
        <f aca="false">IFERROR((J6-I6)/I6,"—")</f>
        <v>0.032258064516129</v>
      </c>
      <c r="N6" s="8" t="s">
        <v>249</v>
      </c>
    </row>
    <row r="7" customFormat="false" ht="15" hidden="false" customHeight="true" outlineLevel="0" collapsed="false">
      <c r="A7" s="6" t="s">
        <v>250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customFormat="false" ht="15" hidden="false" customHeight="false" outlineLevel="0" collapsed="false">
      <c r="A8" s="7" t="s">
        <v>251</v>
      </c>
      <c r="B8" s="7" t="s">
        <v>252</v>
      </c>
      <c r="C8" s="7" t="s">
        <v>253</v>
      </c>
      <c r="D8" s="8" t="s">
        <v>254</v>
      </c>
      <c r="E8" s="7" t="s">
        <v>255</v>
      </c>
      <c r="F8" s="8" t="s">
        <v>256</v>
      </c>
      <c r="G8" s="18" t="s">
        <v>257</v>
      </c>
      <c r="H8" s="18" t="s">
        <v>257</v>
      </c>
      <c r="I8" s="18" t="s">
        <v>257</v>
      </c>
      <c r="J8" s="18" t="s">
        <v>257</v>
      </c>
      <c r="K8" s="13" t="s">
        <v>74</v>
      </c>
      <c r="L8" s="13" t="s">
        <v>74</v>
      </c>
      <c r="M8" s="13" t="s">
        <v>74</v>
      </c>
      <c r="N8" s="12" t="s">
        <v>258</v>
      </c>
    </row>
    <row r="9" customFormat="false" ht="15" hidden="false" customHeight="true" outlineLevel="0" collapsed="false">
      <c r="A9" s="6" t="s">
        <v>259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customFormat="false" ht="23.85" hidden="false" customHeight="false" outlineLevel="0" collapsed="false">
      <c r="A10" s="7" t="s">
        <v>260</v>
      </c>
      <c r="B10" s="7" t="s">
        <v>261</v>
      </c>
      <c r="C10" s="7" t="s">
        <v>262</v>
      </c>
      <c r="D10" s="8" t="s">
        <v>263</v>
      </c>
      <c r="E10" s="7" t="s">
        <v>167</v>
      </c>
      <c r="F10" s="8" t="s">
        <v>264</v>
      </c>
      <c r="G10" s="13" t="s">
        <v>73</v>
      </c>
      <c r="H10" s="13" t="s">
        <v>73</v>
      </c>
      <c r="I10" s="13" t="s">
        <v>73</v>
      </c>
      <c r="J10" s="9" t="n">
        <v>309</v>
      </c>
      <c r="K10" s="13" t="s">
        <v>74</v>
      </c>
      <c r="L10" s="13" t="s">
        <v>74</v>
      </c>
      <c r="M10" s="13" t="s">
        <v>74</v>
      </c>
      <c r="N10" s="8" t="s">
        <v>265</v>
      </c>
    </row>
    <row r="11" customFormat="false" ht="15" hidden="false" customHeight="false" outlineLevel="0" collapsed="false">
      <c r="A11" s="7" t="s">
        <v>260</v>
      </c>
      <c r="B11" s="7" t="s">
        <v>261</v>
      </c>
      <c r="C11" s="7" t="s">
        <v>262</v>
      </c>
      <c r="D11" s="8" t="s">
        <v>266</v>
      </c>
      <c r="E11" s="7" t="s">
        <v>167</v>
      </c>
      <c r="F11" s="8" t="s">
        <v>267</v>
      </c>
      <c r="G11" s="13" t="s">
        <v>73</v>
      </c>
      <c r="H11" s="13" t="s">
        <v>73</v>
      </c>
      <c r="I11" s="13" t="s">
        <v>73</v>
      </c>
      <c r="J11" s="14" t="n">
        <v>68</v>
      </c>
      <c r="K11" s="13" t="s">
        <v>74</v>
      </c>
      <c r="L11" s="13" t="s">
        <v>74</v>
      </c>
      <c r="M11" s="13" t="s">
        <v>74</v>
      </c>
      <c r="N11" s="8" t="s">
        <v>268</v>
      </c>
    </row>
    <row r="12" customFormat="false" ht="15" hidden="false" customHeight="false" outlineLevel="0" collapsed="false">
      <c r="A12" s="7" t="s">
        <v>260</v>
      </c>
      <c r="B12" s="7" t="s">
        <v>261</v>
      </c>
      <c r="C12" s="7" t="s">
        <v>262</v>
      </c>
      <c r="D12" s="8" t="s">
        <v>269</v>
      </c>
      <c r="E12" s="7" t="s">
        <v>167</v>
      </c>
      <c r="F12" s="8" t="s">
        <v>267</v>
      </c>
      <c r="G12" s="13" t="s">
        <v>73</v>
      </c>
      <c r="H12" s="13" t="s">
        <v>73</v>
      </c>
      <c r="I12" s="13" t="s">
        <v>73</v>
      </c>
      <c r="J12" s="16" t="n">
        <v>1</v>
      </c>
      <c r="K12" s="13" t="s">
        <v>74</v>
      </c>
      <c r="L12" s="13" t="s">
        <v>74</v>
      </c>
      <c r="M12" s="13" t="s">
        <v>74</v>
      </c>
      <c r="N12" s="8" t="s">
        <v>270</v>
      </c>
    </row>
    <row r="13" customFormat="false" ht="23.85" hidden="false" customHeight="false" outlineLevel="0" collapsed="false">
      <c r="A13" s="7" t="s">
        <v>260</v>
      </c>
      <c r="B13" s="7" t="s">
        <v>261</v>
      </c>
      <c r="C13" s="7" t="s">
        <v>262</v>
      </c>
      <c r="D13" s="8" t="s">
        <v>271</v>
      </c>
      <c r="E13" s="7" t="s">
        <v>233</v>
      </c>
      <c r="F13" s="8" t="s">
        <v>272</v>
      </c>
      <c r="G13" s="13" t="s">
        <v>73</v>
      </c>
      <c r="H13" s="13" t="s">
        <v>73</v>
      </c>
      <c r="I13" s="13" t="s">
        <v>73</v>
      </c>
      <c r="J13" s="16" t="n">
        <v>1.13</v>
      </c>
      <c r="K13" s="13" t="s">
        <v>74</v>
      </c>
      <c r="L13" s="13" t="s">
        <v>74</v>
      </c>
      <c r="M13" s="13" t="s">
        <v>74</v>
      </c>
      <c r="N13" s="15" t="s">
        <v>273</v>
      </c>
    </row>
    <row r="14" customFormat="false" ht="15" hidden="false" customHeight="true" outlineLevel="0" collapsed="false">
      <c r="A14" s="6" t="s">
        <v>274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customFormat="false" ht="15" hidden="false" customHeight="false" outlineLevel="0" collapsed="false">
      <c r="A15" s="7" t="s">
        <v>275</v>
      </c>
      <c r="B15" s="7" t="s">
        <v>276</v>
      </c>
      <c r="C15" s="7" t="s">
        <v>277</v>
      </c>
      <c r="D15" s="8" t="s">
        <v>278</v>
      </c>
      <c r="E15" s="7" t="s">
        <v>255</v>
      </c>
      <c r="F15" s="8" t="s">
        <v>279</v>
      </c>
      <c r="G15" s="18" t="s">
        <v>257</v>
      </c>
      <c r="H15" s="18" t="s">
        <v>257</v>
      </c>
      <c r="I15" s="18" t="s">
        <v>257</v>
      </c>
      <c r="J15" s="18" t="s">
        <v>257</v>
      </c>
      <c r="K15" s="13" t="s">
        <v>74</v>
      </c>
      <c r="L15" s="13" t="s">
        <v>74</v>
      </c>
      <c r="M15" s="13" t="s">
        <v>74</v>
      </c>
      <c r="N15" s="12" t="s">
        <v>280</v>
      </c>
    </row>
    <row r="16" customFormat="false" ht="15" hidden="false" customHeight="true" outlineLevel="0" collapsed="false">
      <c r="A16" s="6" t="s">
        <v>281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customFormat="false" ht="23.85" hidden="false" customHeight="false" outlineLevel="0" collapsed="false">
      <c r="A17" s="7" t="s">
        <v>282</v>
      </c>
      <c r="B17" s="7" t="s">
        <v>283</v>
      </c>
      <c r="C17" s="7" t="s">
        <v>284</v>
      </c>
      <c r="D17" s="8" t="s">
        <v>285</v>
      </c>
      <c r="E17" s="7" t="s">
        <v>77</v>
      </c>
      <c r="F17" s="8" t="s">
        <v>286</v>
      </c>
      <c r="G17" s="13" t="s">
        <v>73</v>
      </c>
      <c r="H17" s="13" t="s">
        <v>73</v>
      </c>
      <c r="I17" s="9" t="n">
        <v>115294</v>
      </c>
      <c r="J17" s="9" t="n">
        <v>100024</v>
      </c>
      <c r="K17" s="13" t="s">
        <v>74</v>
      </c>
      <c r="L17" s="13" t="s">
        <v>74</v>
      </c>
      <c r="M17" s="10" t="n">
        <f aca="false">IFERROR((J17-I17)/I17,"—")</f>
        <v>-0.132444012697972</v>
      </c>
      <c r="N17" s="15" t="s">
        <v>287</v>
      </c>
    </row>
    <row r="18" customFormat="false" ht="15" hidden="false" customHeight="false" outlineLevel="0" collapsed="false">
      <c r="A18" s="7" t="s">
        <v>282</v>
      </c>
      <c r="B18" s="7" t="s">
        <v>283</v>
      </c>
      <c r="C18" s="7" t="s">
        <v>284</v>
      </c>
      <c r="D18" s="8" t="s">
        <v>82</v>
      </c>
      <c r="E18" s="7" t="s">
        <v>77</v>
      </c>
      <c r="F18" s="8" t="s">
        <v>288</v>
      </c>
      <c r="G18" s="13" t="s">
        <v>73</v>
      </c>
      <c r="H18" s="13" t="s">
        <v>73</v>
      </c>
      <c r="I18" s="9" t="n">
        <v>792479</v>
      </c>
      <c r="J18" s="9" t="n">
        <v>773852</v>
      </c>
      <c r="K18" s="13" t="s">
        <v>74</v>
      </c>
      <c r="L18" s="13" t="s">
        <v>74</v>
      </c>
      <c r="M18" s="10" t="n">
        <f aca="false">IFERROR((J18-I18)/I18,"—")</f>
        <v>-0.0235047237844788</v>
      </c>
      <c r="N18" s="8" t="s">
        <v>289</v>
      </c>
    </row>
    <row r="19" customFormat="false" ht="23.85" hidden="false" customHeight="false" outlineLevel="0" collapsed="false">
      <c r="A19" s="7" t="s">
        <v>282</v>
      </c>
      <c r="B19" s="7" t="s">
        <v>283</v>
      </c>
      <c r="C19" s="7" t="s">
        <v>284</v>
      </c>
      <c r="D19" s="8" t="s">
        <v>80</v>
      </c>
      <c r="E19" s="7" t="s">
        <v>77</v>
      </c>
      <c r="F19" s="8" t="s">
        <v>288</v>
      </c>
      <c r="G19" s="13" t="s">
        <v>73</v>
      </c>
      <c r="H19" s="13" t="s">
        <v>73</v>
      </c>
      <c r="I19" s="9" t="n">
        <v>3642</v>
      </c>
      <c r="J19" s="9" t="n">
        <v>6806</v>
      </c>
      <c r="K19" s="13" t="s">
        <v>74</v>
      </c>
      <c r="L19" s="13" t="s">
        <v>74</v>
      </c>
      <c r="M19" s="10" t="n">
        <f aca="false">IFERROR((J19-I19)/I19,"—")</f>
        <v>0.868753432180121</v>
      </c>
      <c r="N19" s="12" t="s">
        <v>290</v>
      </c>
    </row>
    <row r="20" customFormat="false" ht="15" hidden="false" customHeight="false" outlineLevel="0" collapsed="false">
      <c r="A20" s="7" t="s">
        <v>282</v>
      </c>
      <c r="B20" s="7" t="s">
        <v>283</v>
      </c>
      <c r="C20" s="7" t="s">
        <v>284</v>
      </c>
      <c r="D20" s="8" t="s">
        <v>291</v>
      </c>
      <c r="E20" s="7" t="s">
        <v>77</v>
      </c>
      <c r="F20" s="8" t="s">
        <v>288</v>
      </c>
      <c r="G20" s="13" t="s">
        <v>73</v>
      </c>
      <c r="H20" s="13" t="s">
        <v>73</v>
      </c>
      <c r="I20" s="9" t="n">
        <v>907773</v>
      </c>
      <c r="J20" s="9" t="n">
        <v>873876</v>
      </c>
      <c r="K20" s="13" t="s">
        <v>74</v>
      </c>
      <c r="L20" s="13" t="s">
        <v>74</v>
      </c>
      <c r="M20" s="10" t="n">
        <f aca="false">IFERROR((J20-I20)/I20,"—")</f>
        <v>-0.0373408330056082</v>
      </c>
      <c r="N20" s="15" t="s">
        <v>292</v>
      </c>
    </row>
    <row r="21" customFormat="false" ht="23.85" hidden="false" customHeight="false" outlineLevel="0" collapsed="false">
      <c r="A21" s="7" t="s">
        <v>282</v>
      </c>
      <c r="B21" s="7" t="s">
        <v>283</v>
      </c>
      <c r="C21" s="7" t="s">
        <v>284</v>
      </c>
      <c r="D21" s="8" t="s">
        <v>293</v>
      </c>
      <c r="E21" s="7" t="s">
        <v>69</v>
      </c>
      <c r="F21" s="8" t="s">
        <v>294</v>
      </c>
      <c r="G21" s="13" t="s">
        <v>73</v>
      </c>
      <c r="H21" s="13" t="s">
        <v>73</v>
      </c>
      <c r="I21" s="14" t="n">
        <v>12</v>
      </c>
      <c r="J21" s="14" t="n">
        <v>15</v>
      </c>
      <c r="K21" s="13" t="s">
        <v>74</v>
      </c>
      <c r="L21" s="13" t="s">
        <v>74</v>
      </c>
      <c r="M21" s="10" t="n">
        <f aca="false">IFERROR((J21-I21)/I21,"—")</f>
        <v>0.25</v>
      </c>
      <c r="N21" s="8" t="s">
        <v>295</v>
      </c>
    </row>
    <row r="22" customFormat="false" ht="15" hidden="false" customHeight="false" outlineLevel="0" collapsed="false">
      <c r="A22" s="7" t="s">
        <v>282</v>
      </c>
      <c r="B22" s="7" t="s">
        <v>283</v>
      </c>
      <c r="C22" s="7" t="s">
        <v>284</v>
      </c>
      <c r="D22" s="8" t="s">
        <v>144</v>
      </c>
      <c r="E22" s="7" t="s">
        <v>77</v>
      </c>
      <c r="F22" s="8" t="s">
        <v>294</v>
      </c>
      <c r="G22" s="13" t="s">
        <v>73</v>
      </c>
      <c r="H22" s="13" t="s">
        <v>73</v>
      </c>
      <c r="I22" s="9" t="n">
        <v>255481</v>
      </c>
      <c r="J22" s="13" t="s">
        <v>73</v>
      </c>
      <c r="K22" s="13" t="s">
        <v>74</v>
      </c>
      <c r="L22" s="13" t="s">
        <v>74</v>
      </c>
      <c r="M22" s="13" t="s">
        <v>74</v>
      </c>
      <c r="N22" s="8" t="s">
        <v>296</v>
      </c>
    </row>
    <row r="23" customFormat="false" ht="15" hidden="false" customHeight="false" outlineLevel="0" collapsed="false">
      <c r="A23" s="7" t="s">
        <v>282</v>
      </c>
      <c r="B23" s="7" t="s">
        <v>283</v>
      </c>
      <c r="C23" s="7" t="s">
        <v>284</v>
      </c>
      <c r="D23" s="8" t="s">
        <v>297</v>
      </c>
      <c r="E23" s="7" t="s">
        <v>77</v>
      </c>
      <c r="F23" s="8" t="s">
        <v>298</v>
      </c>
      <c r="G23" s="13" t="s">
        <v>73</v>
      </c>
      <c r="H23" s="13" t="s">
        <v>73</v>
      </c>
      <c r="I23" s="9" t="n">
        <v>374417</v>
      </c>
      <c r="J23" s="9" t="n">
        <v>367311</v>
      </c>
      <c r="K23" s="13" t="s">
        <v>74</v>
      </c>
      <c r="L23" s="13" t="s">
        <v>74</v>
      </c>
      <c r="M23" s="10" t="n">
        <f aca="false">IFERROR((J23-I23)/I23,"—")</f>
        <v>-0.018978839101857</v>
      </c>
      <c r="N23" s="8" t="s">
        <v>299</v>
      </c>
    </row>
    <row r="24" customFormat="false" ht="15" hidden="false" customHeight="false" outlineLevel="0" collapsed="false">
      <c r="A24" s="7" t="s">
        <v>282</v>
      </c>
      <c r="B24" s="7" t="s">
        <v>283</v>
      </c>
      <c r="C24" s="7" t="s">
        <v>300</v>
      </c>
      <c r="D24" s="8" t="s">
        <v>301</v>
      </c>
      <c r="E24" s="7" t="s">
        <v>65</v>
      </c>
      <c r="F24" s="8" t="s">
        <v>298</v>
      </c>
      <c r="G24" s="13" t="s">
        <v>73</v>
      </c>
      <c r="H24" s="13" t="s">
        <v>73</v>
      </c>
      <c r="I24" s="9" t="n">
        <v>2016262</v>
      </c>
      <c r="J24" s="9" t="n">
        <v>2041374</v>
      </c>
      <c r="K24" s="13" t="s">
        <v>74</v>
      </c>
      <c r="L24" s="13" t="s">
        <v>74</v>
      </c>
      <c r="M24" s="10" t="n">
        <f aca="false">IFERROR((J24-I24)/I24,"—")</f>
        <v>0.0124547305856084</v>
      </c>
      <c r="N24" s="12" t="s">
        <v>302</v>
      </c>
    </row>
    <row r="25" customFormat="false" ht="15" hidden="false" customHeight="false" outlineLevel="0" collapsed="false">
      <c r="A25" s="7" t="s">
        <v>282</v>
      </c>
      <c r="B25" s="7" t="s">
        <v>283</v>
      </c>
      <c r="C25" s="7" t="s">
        <v>300</v>
      </c>
      <c r="D25" s="8" t="s">
        <v>303</v>
      </c>
      <c r="E25" s="7" t="s">
        <v>69</v>
      </c>
      <c r="F25" s="8" t="s">
        <v>298</v>
      </c>
      <c r="G25" s="13" t="s">
        <v>73</v>
      </c>
      <c r="H25" s="13" t="s">
        <v>73</v>
      </c>
      <c r="I25" s="9" t="n">
        <v>100</v>
      </c>
      <c r="J25" s="9" t="n">
        <v>100</v>
      </c>
      <c r="K25" s="13" t="s">
        <v>74</v>
      </c>
      <c r="L25" s="13" t="s">
        <v>74</v>
      </c>
      <c r="M25" s="10" t="n">
        <f aca="false">IFERROR((J25-I25)/I25,"—")</f>
        <v>0</v>
      </c>
      <c r="N25" s="12" t="s">
        <v>304</v>
      </c>
    </row>
    <row r="27" customFormat="false" ht="15" hidden="false" customHeight="false" outlineLevel="0" collapsed="false">
      <c r="A27" s="4" t="s">
        <v>305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customFormat="false" ht="15" hidden="false" customHeight="false" outlineLevel="0" collapsed="false">
      <c r="A28" s="4" t="s">
        <v>123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</sheetData>
  <mergeCells count="9">
    <mergeCell ref="A1:N1"/>
    <mergeCell ref="A2:N2"/>
    <mergeCell ref="A4:N4"/>
    <mergeCell ref="A7:N7"/>
    <mergeCell ref="A9:N9"/>
    <mergeCell ref="A14:N14"/>
    <mergeCell ref="A16:N16"/>
    <mergeCell ref="A27:N27"/>
    <mergeCell ref="A28: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13" min="7" style="0" width="11"/>
    <col collapsed="false" customWidth="true" hidden="false" outlineLevel="0" max="14" min="14" style="0" width="30"/>
  </cols>
  <sheetData>
    <row r="1" customFormat="false" ht="21.75" hidden="false" customHeight="true" outlineLevel="0" collapsed="false">
      <c r="A1" s="1" t="s">
        <v>306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4" t="s">
        <v>307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31.5" hidden="false" customHeight="true" outlineLevel="0" collapsed="false">
      <c r="A3" s="5" t="s">
        <v>239</v>
      </c>
      <c r="B3" s="5" t="s">
        <v>240</v>
      </c>
      <c r="C3" s="5" t="s">
        <v>241</v>
      </c>
      <c r="D3" s="5" t="s">
        <v>36</v>
      </c>
      <c r="E3" s="5" t="s">
        <v>37</v>
      </c>
      <c r="F3" s="5" t="s">
        <v>242</v>
      </c>
      <c r="G3" s="5" t="s">
        <v>39</v>
      </c>
      <c r="H3" s="5" t="s">
        <v>40</v>
      </c>
      <c r="I3" s="5" t="s">
        <v>41</v>
      </c>
      <c r="J3" s="5" t="s">
        <v>42</v>
      </c>
      <c r="K3" s="5" t="s">
        <v>43</v>
      </c>
      <c r="L3" s="5" t="s">
        <v>44</v>
      </c>
      <c r="M3" s="5" t="s">
        <v>45</v>
      </c>
      <c r="N3" s="5" t="s">
        <v>46</v>
      </c>
    </row>
    <row r="4" customFormat="false" ht="15" hidden="false" customHeight="true" outlineLevel="0" collapsed="false">
      <c r="A4" s="6" t="s">
        <v>47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Format="false" ht="15" hidden="false" customHeight="false" outlineLevel="0" collapsed="false">
      <c r="A5" s="7" t="s">
        <v>50</v>
      </c>
      <c r="B5" s="7" t="s">
        <v>74</v>
      </c>
      <c r="C5" s="7" t="s">
        <v>243</v>
      </c>
      <c r="D5" s="8" t="s">
        <v>308</v>
      </c>
      <c r="E5" s="7" t="s">
        <v>309</v>
      </c>
      <c r="F5" s="8" t="s">
        <v>310</v>
      </c>
      <c r="G5" s="9" t="n">
        <v>52444</v>
      </c>
      <c r="H5" s="9" t="n">
        <v>60073</v>
      </c>
      <c r="I5" s="9" t="n">
        <v>59604</v>
      </c>
      <c r="J5" s="9" t="n">
        <v>60761</v>
      </c>
      <c r="K5" s="10" t="n">
        <f aca="false">IFERROR((H5-G5)/G5,"—")</f>
        <v>0.145469453130959</v>
      </c>
      <c r="L5" s="10" t="n">
        <f aca="false">IFERROR((I5-H5)/H5,"—")</f>
        <v>-0.00780716794566611</v>
      </c>
      <c r="M5" s="10" t="n">
        <f aca="false">IFERROR((J5-I5)/I5,"—")</f>
        <v>0.0194114488960472</v>
      </c>
      <c r="N5" s="8" t="s">
        <v>311</v>
      </c>
    </row>
    <row r="6" customFormat="false" ht="15" hidden="false" customHeight="true" outlineLevel="0" collapsed="false">
      <c r="A6" s="6" t="s">
        <v>250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23.85" hidden="false" customHeight="false" outlineLevel="0" collapsed="false">
      <c r="A7" s="7" t="s">
        <v>251</v>
      </c>
      <c r="B7" s="7" t="s">
        <v>252</v>
      </c>
      <c r="C7" s="7" t="s">
        <v>253</v>
      </c>
      <c r="D7" s="8" t="s">
        <v>312</v>
      </c>
      <c r="E7" s="7" t="s">
        <v>69</v>
      </c>
      <c r="F7" s="8" t="s">
        <v>313</v>
      </c>
      <c r="G7" s="13" t="s">
        <v>73</v>
      </c>
      <c r="H7" s="13" t="s">
        <v>73</v>
      </c>
      <c r="I7" s="13" t="s">
        <v>73</v>
      </c>
      <c r="J7" s="14" t="n">
        <v>97</v>
      </c>
      <c r="K7" s="13" t="s">
        <v>74</v>
      </c>
      <c r="L7" s="13" t="s">
        <v>74</v>
      </c>
      <c r="M7" s="13" t="s">
        <v>74</v>
      </c>
      <c r="N7" s="12" t="s">
        <v>314</v>
      </c>
    </row>
    <row r="8" customFormat="false" ht="15" hidden="false" customHeight="true" outlineLevel="0" collapsed="false">
      <c r="A8" s="6" t="s">
        <v>259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15" hidden="false" customHeight="false" outlineLevel="0" collapsed="false">
      <c r="A9" s="7" t="s">
        <v>260</v>
      </c>
      <c r="B9" s="7" t="s">
        <v>261</v>
      </c>
      <c r="C9" s="7" t="s">
        <v>262</v>
      </c>
      <c r="D9" s="8" t="s">
        <v>315</v>
      </c>
      <c r="E9" s="7" t="s">
        <v>309</v>
      </c>
      <c r="F9" s="8" t="s">
        <v>316</v>
      </c>
      <c r="G9" s="13" t="s">
        <v>73</v>
      </c>
      <c r="H9" s="13" t="s">
        <v>73</v>
      </c>
      <c r="I9" s="13" t="s">
        <v>73</v>
      </c>
      <c r="J9" s="9" t="n">
        <v>150</v>
      </c>
      <c r="K9" s="13" t="s">
        <v>74</v>
      </c>
      <c r="L9" s="13" t="s">
        <v>74</v>
      </c>
      <c r="M9" s="13" t="s">
        <v>74</v>
      </c>
      <c r="N9" s="8" t="s">
        <v>317</v>
      </c>
    </row>
    <row r="10" customFormat="false" ht="23.85" hidden="false" customHeight="false" outlineLevel="0" collapsed="false">
      <c r="A10" s="7" t="s">
        <v>260</v>
      </c>
      <c r="B10" s="7" t="s">
        <v>261</v>
      </c>
      <c r="C10" s="7" t="s">
        <v>262</v>
      </c>
      <c r="D10" s="8" t="s">
        <v>318</v>
      </c>
      <c r="E10" s="7" t="s">
        <v>309</v>
      </c>
      <c r="F10" s="8" t="s">
        <v>316</v>
      </c>
      <c r="G10" s="13" t="s">
        <v>73</v>
      </c>
      <c r="H10" s="13" t="s">
        <v>73</v>
      </c>
      <c r="I10" s="9" t="n">
        <v>286</v>
      </c>
      <c r="J10" s="13" t="s">
        <v>73</v>
      </c>
      <c r="K10" s="13" t="s">
        <v>74</v>
      </c>
      <c r="L10" s="13" t="s">
        <v>74</v>
      </c>
      <c r="M10" s="13" t="s">
        <v>74</v>
      </c>
      <c r="N10" s="8" t="s">
        <v>319</v>
      </c>
    </row>
    <row r="11" customFormat="false" ht="15" hidden="false" customHeight="true" outlineLevel="0" collapsed="false">
      <c r="A11" s="6" t="s">
        <v>274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customFormat="false" ht="23.85" hidden="false" customHeight="false" outlineLevel="0" collapsed="false">
      <c r="A12" s="7" t="s">
        <v>275</v>
      </c>
      <c r="B12" s="7" t="s">
        <v>276</v>
      </c>
      <c r="C12" s="7" t="s">
        <v>165</v>
      </c>
      <c r="D12" s="8" t="s">
        <v>320</v>
      </c>
      <c r="E12" s="7" t="s">
        <v>69</v>
      </c>
      <c r="F12" s="8" t="s">
        <v>321</v>
      </c>
      <c r="G12" s="13" t="s">
        <v>73</v>
      </c>
      <c r="H12" s="13" t="s">
        <v>73</v>
      </c>
      <c r="I12" s="13" t="s">
        <v>73</v>
      </c>
      <c r="J12" s="14" t="n">
        <v>97</v>
      </c>
      <c r="K12" s="13" t="s">
        <v>74</v>
      </c>
      <c r="L12" s="13" t="s">
        <v>74</v>
      </c>
      <c r="M12" s="13" t="s">
        <v>74</v>
      </c>
      <c r="N12" s="12" t="s">
        <v>322</v>
      </c>
    </row>
    <row r="13" customFormat="false" ht="15" hidden="false" customHeight="false" outlineLevel="0" collapsed="false">
      <c r="A13" s="7" t="s">
        <v>275</v>
      </c>
      <c r="B13" s="7" t="s">
        <v>276</v>
      </c>
      <c r="C13" s="7" t="s">
        <v>165</v>
      </c>
      <c r="D13" s="8" t="s">
        <v>323</v>
      </c>
      <c r="E13" s="7" t="s">
        <v>69</v>
      </c>
      <c r="F13" s="8" t="s">
        <v>324</v>
      </c>
      <c r="G13" s="13" t="s">
        <v>73</v>
      </c>
      <c r="H13" s="13" t="s">
        <v>73</v>
      </c>
      <c r="I13" s="13" t="s">
        <v>73</v>
      </c>
      <c r="J13" s="14" t="n">
        <v>79</v>
      </c>
      <c r="K13" s="13" t="s">
        <v>74</v>
      </c>
      <c r="L13" s="13" t="s">
        <v>74</v>
      </c>
      <c r="M13" s="13" t="s">
        <v>74</v>
      </c>
      <c r="N13" s="15" t="s">
        <v>325</v>
      </c>
    </row>
    <row r="14" customFormat="false" ht="15" hidden="false" customHeight="true" outlineLevel="0" collapsed="false">
      <c r="A14" s="6" t="s">
        <v>326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customFormat="false" ht="15" hidden="false" customHeight="false" outlineLevel="0" collapsed="false">
      <c r="A15" s="7" t="s">
        <v>282</v>
      </c>
      <c r="B15" s="7" t="s">
        <v>283</v>
      </c>
      <c r="C15" s="7" t="s">
        <v>284</v>
      </c>
      <c r="D15" s="8" t="s">
        <v>327</v>
      </c>
      <c r="E15" s="7" t="s">
        <v>328</v>
      </c>
      <c r="F15" s="8" t="s">
        <v>329</v>
      </c>
      <c r="G15" s="9" t="n">
        <v>651491</v>
      </c>
      <c r="H15" s="9" t="n">
        <v>557826</v>
      </c>
      <c r="I15" s="9" t="n">
        <v>454254</v>
      </c>
      <c r="J15" s="9" t="n">
        <v>690000</v>
      </c>
      <c r="K15" s="10" t="n">
        <f aca="false">IFERROR((H15-G15)/G15,"—")</f>
        <v>-0.1437702132493</v>
      </c>
      <c r="L15" s="10" t="n">
        <f aca="false">IFERROR((I15-H15)/H15,"—")</f>
        <v>-0.185670800572221</v>
      </c>
      <c r="M15" s="10" t="n">
        <f aca="false">IFERROR((J15-I15)/I15,"—")</f>
        <v>0.518973966107068</v>
      </c>
      <c r="N15" s="8" t="s">
        <v>330</v>
      </c>
    </row>
    <row r="16" customFormat="false" ht="15" hidden="false" customHeight="false" outlineLevel="0" collapsed="false">
      <c r="A16" s="7" t="s">
        <v>282</v>
      </c>
      <c r="B16" s="7" t="s">
        <v>283</v>
      </c>
      <c r="C16" s="7" t="s">
        <v>284</v>
      </c>
      <c r="D16" s="8" t="s">
        <v>331</v>
      </c>
      <c r="E16" s="7" t="s">
        <v>328</v>
      </c>
      <c r="F16" s="8" t="s">
        <v>329</v>
      </c>
      <c r="G16" s="9" t="n">
        <v>1620007</v>
      </c>
      <c r="H16" s="9" t="n">
        <v>1562623</v>
      </c>
      <c r="I16" s="9" t="n">
        <v>1410665</v>
      </c>
      <c r="J16" s="9" t="n">
        <v>1740000</v>
      </c>
      <c r="K16" s="10" t="n">
        <f aca="false">IFERROR((H16-G16)/G16,"—")</f>
        <v>-0.0354220691638987</v>
      </c>
      <c r="L16" s="10" t="n">
        <f aca="false">IFERROR((I16-H16)/H16,"—")</f>
        <v>-0.097245464837008</v>
      </c>
      <c r="M16" s="10" t="n">
        <f aca="false">IFERROR((J16-I16)/I16,"—")</f>
        <v>0.233460814580358</v>
      </c>
      <c r="N16" s="8" t="s">
        <v>332</v>
      </c>
    </row>
    <row r="17" customFormat="false" ht="15" hidden="false" customHeight="false" outlineLevel="0" collapsed="false">
      <c r="A17" s="7" t="s">
        <v>282</v>
      </c>
      <c r="B17" s="7" t="s">
        <v>283</v>
      </c>
      <c r="C17" s="7" t="s">
        <v>284</v>
      </c>
      <c r="D17" s="8" t="s">
        <v>333</v>
      </c>
      <c r="E17" s="7" t="s">
        <v>69</v>
      </c>
      <c r="F17" s="8" t="s">
        <v>334</v>
      </c>
      <c r="G17" s="13" t="s">
        <v>73</v>
      </c>
      <c r="H17" s="13" t="s">
        <v>73</v>
      </c>
      <c r="I17" s="14" t="n">
        <v>74</v>
      </c>
      <c r="J17" s="14" t="n">
        <v>77</v>
      </c>
      <c r="K17" s="13" t="s">
        <v>74</v>
      </c>
      <c r="L17" s="13" t="s">
        <v>74</v>
      </c>
      <c r="M17" s="10" t="n">
        <f aca="false">IFERROR((J17-I17)/I17,"—")</f>
        <v>0.0405405405405405</v>
      </c>
      <c r="N17" s="12" t="s">
        <v>335</v>
      </c>
    </row>
    <row r="18" customFormat="false" ht="15" hidden="false" customHeight="false" outlineLevel="0" collapsed="false">
      <c r="A18" s="7" t="s">
        <v>282</v>
      </c>
      <c r="B18" s="7" t="s">
        <v>283</v>
      </c>
      <c r="C18" s="7" t="s">
        <v>284</v>
      </c>
      <c r="D18" s="8" t="s">
        <v>336</v>
      </c>
      <c r="E18" s="7" t="s">
        <v>337</v>
      </c>
      <c r="F18" s="8" t="s">
        <v>338</v>
      </c>
      <c r="G18" s="13" t="s">
        <v>73</v>
      </c>
      <c r="H18" s="13" t="s">
        <v>73</v>
      </c>
      <c r="I18" s="9" t="n">
        <v>570000</v>
      </c>
      <c r="J18" s="9" t="n">
        <v>480000</v>
      </c>
      <c r="K18" s="13" t="s">
        <v>74</v>
      </c>
      <c r="L18" s="13" t="s">
        <v>74</v>
      </c>
      <c r="M18" s="10" t="n">
        <f aca="false">IFERROR((J18-I18)/I18,"—")</f>
        <v>-0.157894736842105</v>
      </c>
      <c r="N18" s="15" t="s">
        <v>339</v>
      </c>
    </row>
    <row r="19" customFormat="false" ht="15" hidden="false" customHeight="false" outlineLevel="0" collapsed="false">
      <c r="A19" s="7" t="s">
        <v>282</v>
      </c>
      <c r="B19" s="7" t="s">
        <v>283</v>
      </c>
      <c r="C19" s="7" t="s">
        <v>284</v>
      </c>
      <c r="D19" s="8" t="s">
        <v>340</v>
      </c>
      <c r="E19" s="7" t="s">
        <v>337</v>
      </c>
      <c r="F19" s="8" t="s">
        <v>324</v>
      </c>
      <c r="G19" s="13" t="s">
        <v>73</v>
      </c>
      <c r="H19" s="13" t="s">
        <v>73</v>
      </c>
      <c r="I19" s="13" t="s">
        <v>73</v>
      </c>
      <c r="J19" s="9" t="n">
        <v>210000</v>
      </c>
      <c r="K19" s="13" t="s">
        <v>74</v>
      </c>
      <c r="L19" s="13" t="s">
        <v>74</v>
      </c>
      <c r="M19" s="13" t="s">
        <v>74</v>
      </c>
      <c r="N19" s="8" t="s">
        <v>341</v>
      </c>
    </row>
    <row r="20" customFormat="false" ht="15" hidden="false" customHeight="false" outlineLevel="0" collapsed="false">
      <c r="A20" s="7" t="s">
        <v>282</v>
      </c>
      <c r="B20" s="7" t="s">
        <v>283</v>
      </c>
      <c r="C20" s="7" t="s">
        <v>284</v>
      </c>
      <c r="D20" s="8" t="s">
        <v>342</v>
      </c>
      <c r="E20" s="7" t="s">
        <v>337</v>
      </c>
      <c r="F20" s="8" t="s">
        <v>343</v>
      </c>
      <c r="G20" s="13" t="s">
        <v>73</v>
      </c>
      <c r="H20" s="13" t="s">
        <v>73</v>
      </c>
      <c r="I20" s="9" t="n">
        <v>52000000</v>
      </c>
      <c r="J20" s="9" t="n">
        <v>53800000</v>
      </c>
      <c r="K20" s="13" t="s">
        <v>74</v>
      </c>
      <c r="L20" s="13" t="s">
        <v>74</v>
      </c>
      <c r="M20" s="10" t="n">
        <f aca="false">IFERROR((J20-I20)/I20,"—")</f>
        <v>0.0346153846153846</v>
      </c>
      <c r="N20" s="8" t="s">
        <v>344</v>
      </c>
    </row>
    <row r="21" customFormat="false" ht="15" hidden="false" customHeight="true" outlineLevel="0" collapsed="false">
      <c r="A21" s="6" t="s">
        <v>345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customFormat="false" ht="15" hidden="false" customHeight="false" outlineLevel="0" collapsed="false">
      <c r="A22" s="7" t="s">
        <v>282</v>
      </c>
      <c r="B22" s="7" t="s">
        <v>346</v>
      </c>
      <c r="C22" s="7" t="s">
        <v>194</v>
      </c>
      <c r="D22" s="8" t="s">
        <v>347</v>
      </c>
      <c r="E22" s="7" t="s">
        <v>348</v>
      </c>
      <c r="F22" s="8" t="s">
        <v>349</v>
      </c>
      <c r="G22" s="16" t="n">
        <v>1.23</v>
      </c>
      <c r="H22" s="16" t="n">
        <v>1.22</v>
      </c>
      <c r="I22" s="16" t="n">
        <v>1.15</v>
      </c>
      <c r="J22" s="13" t="s">
        <v>73</v>
      </c>
      <c r="K22" s="10" t="n">
        <f aca="false">IFERROR((H22-G22)/G22,"—")</f>
        <v>-0.00813008130081302</v>
      </c>
      <c r="L22" s="10" t="n">
        <f aca="false">IFERROR((I22-H22)/H22,"—")</f>
        <v>-0.0573770491803279</v>
      </c>
      <c r="M22" s="13" t="s">
        <v>74</v>
      </c>
      <c r="N22" s="15" t="s">
        <v>350</v>
      </c>
    </row>
    <row r="23" customFormat="false" ht="15" hidden="false" customHeight="false" outlineLevel="0" collapsed="false">
      <c r="A23" s="7" t="s">
        <v>282</v>
      </c>
      <c r="B23" s="7" t="s">
        <v>346</v>
      </c>
      <c r="C23" s="7" t="s">
        <v>351</v>
      </c>
      <c r="D23" s="8" t="s">
        <v>352</v>
      </c>
      <c r="E23" s="7" t="s">
        <v>353</v>
      </c>
      <c r="F23" s="8" t="s">
        <v>349</v>
      </c>
      <c r="G23" s="16" t="n">
        <v>1.57</v>
      </c>
      <c r="H23" s="16" t="n">
        <v>1.54</v>
      </c>
      <c r="I23" s="16" t="n">
        <v>1.54</v>
      </c>
      <c r="J23" s="13" t="s">
        <v>73</v>
      </c>
      <c r="K23" s="10" t="n">
        <f aca="false">IFERROR((H23-G23)/G23,"—")</f>
        <v>-0.0191082802547771</v>
      </c>
      <c r="L23" s="10" t="n">
        <f aca="false">IFERROR((I23-H23)/H23,"—")</f>
        <v>0</v>
      </c>
      <c r="M23" s="13" t="s">
        <v>74</v>
      </c>
      <c r="N23" s="8" t="s">
        <v>354</v>
      </c>
    </row>
    <row r="24" customFormat="false" ht="15" hidden="false" customHeight="false" outlineLevel="0" collapsed="false">
      <c r="A24" s="7" t="s">
        <v>282</v>
      </c>
      <c r="B24" s="7" t="s">
        <v>346</v>
      </c>
      <c r="C24" s="7" t="s">
        <v>355</v>
      </c>
      <c r="D24" s="8" t="s">
        <v>356</v>
      </c>
      <c r="E24" s="7" t="s">
        <v>357</v>
      </c>
      <c r="F24" s="8" t="s">
        <v>349</v>
      </c>
      <c r="G24" s="19" t="n">
        <v>0.23</v>
      </c>
      <c r="H24" s="19" t="n">
        <v>0.28</v>
      </c>
      <c r="I24" s="19" t="n">
        <v>0.24</v>
      </c>
      <c r="J24" s="13" t="s">
        <v>73</v>
      </c>
      <c r="K24" s="10" t="n">
        <f aca="false">IFERROR((H24-G24)/G24,"—")</f>
        <v>0.217391304347826</v>
      </c>
      <c r="L24" s="10" t="n">
        <f aca="false">IFERROR((I24-H24)/H24,"—")</f>
        <v>-0.142857142857143</v>
      </c>
      <c r="M24" s="13" t="s">
        <v>74</v>
      </c>
      <c r="N24" s="8" t="s">
        <v>358</v>
      </c>
    </row>
    <row r="25" customFormat="false" ht="15" hidden="false" customHeight="true" outlineLevel="0" collapsed="false">
      <c r="A25" s="6" t="s">
        <v>359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customFormat="false" ht="15" hidden="false" customHeight="false" outlineLevel="0" collapsed="false">
      <c r="A26" s="7" t="s">
        <v>282</v>
      </c>
      <c r="B26" s="7" t="s">
        <v>360</v>
      </c>
      <c r="C26" s="7" t="s">
        <v>361</v>
      </c>
      <c r="D26" s="8" t="s">
        <v>362</v>
      </c>
      <c r="E26" s="7" t="s">
        <v>59</v>
      </c>
      <c r="F26" s="8" t="s">
        <v>349</v>
      </c>
      <c r="G26" s="16" t="n">
        <v>7</v>
      </c>
      <c r="H26" s="16" t="n">
        <v>1</v>
      </c>
      <c r="I26" s="16" t="n">
        <v>1</v>
      </c>
      <c r="J26" s="13" t="s">
        <v>73</v>
      </c>
      <c r="K26" s="10" t="n">
        <f aca="false">IFERROR((H26-G26)/G26,"—")</f>
        <v>-0.857142857142857</v>
      </c>
      <c r="L26" s="10" t="n">
        <f aca="false">IFERROR((I26-H26)/H26,"—")</f>
        <v>0</v>
      </c>
      <c r="M26" s="13" t="s">
        <v>74</v>
      </c>
      <c r="N26" s="15" t="s">
        <v>363</v>
      </c>
    </row>
    <row r="27" customFormat="false" ht="15" hidden="false" customHeight="false" outlineLevel="0" collapsed="false">
      <c r="A27" s="7" t="s">
        <v>282</v>
      </c>
      <c r="B27" s="7" t="s">
        <v>360</v>
      </c>
      <c r="C27" s="7" t="s">
        <v>361</v>
      </c>
      <c r="D27" s="8" t="s">
        <v>364</v>
      </c>
      <c r="E27" s="7" t="s">
        <v>365</v>
      </c>
      <c r="F27" s="8" t="s">
        <v>349</v>
      </c>
      <c r="G27" s="19" t="n">
        <v>0.55</v>
      </c>
      <c r="H27" s="19" t="n">
        <v>0.67</v>
      </c>
      <c r="I27" s="19" t="n">
        <v>0.58</v>
      </c>
      <c r="J27" s="13" t="s">
        <v>73</v>
      </c>
      <c r="K27" s="10" t="n">
        <f aca="false">IFERROR((H27-G27)/G27,"—")</f>
        <v>0.218181818181818</v>
      </c>
      <c r="L27" s="10" t="n">
        <f aca="false">IFERROR((I27-H27)/H27,"—")</f>
        <v>-0.134328358208955</v>
      </c>
      <c r="M27" s="13" t="s">
        <v>74</v>
      </c>
      <c r="N27" s="8" t="s">
        <v>358</v>
      </c>
    </row>
    <row r="29" customFormat="false" ht="15" hidden="false" customHeight="false" outlineLevel="0" collapsed="false">
      <c r="A29" s="4" t="s">
        <v>366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customFormat="false" ht="15" hidden="false" customHeight="false" outlineLevel="0" collapsed="false">
      <c r="A30" s="4" t="s">
        <v>123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</sheetData>
  <mergeCells count="11">
    <mergeCell ref="A1:N1"/>
    <mergeCell ref="A2:N2"/>
    <mergeCell ref="A4:N4"/>
    <mergeCell ref="A6:N6"/>
    <mergeCell ref="A8:N8"/>
    <mergeCell ref="A11:N11"/>
    <mergeCell ref="A14:N14"/>
    <mergeCell ref="A21:N21"/>
    <mergeCell ref="A25:N25"/>
    <mergeCell ref="A29:N29"/>
    <mergeCell ref="A30:N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13" min="7" style="0" width="11"/>
    <col collapsed="false" customWidth="true" hidden="false" outlineLevel="0" max="14" min="14" style="0" width="30"/>
  </cols>
  <sheetData>
    <row r="1" customFormat="false" ht="21.75" hidden="false" customHeight="true" outlineLevel="0" collapsed="false">
      <c r="A1" s="1" t="s">
        <v>367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4" t="s">
        <v>368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31.5" hidden="false" customHeight="true" outlineLevel="0" collapsed="false">
      <c r="A3" s="5" t="s">
        <v>239</v>
      </c>
      <c r="B3" s="5" t="s">
        <v>240</v>
      </c>
      <c r="C3" s="5" t="s">
        <v>241</v>
      </c>
      <c r="D3" s="5" t="s">
        <v>36</v>
      </c>
      <c r="E3" s="5" t="s">
        <v>37</v>
      </c>
      <c r="F3" s="5" t="s">
        <v>242</v>
      </c>
      <c r="G3" s="5" t="s">
        <v>39</v>
      </c>
      <c r="H3" s="5" t="s">
        <v>40</v>
      </c>
      <c r="I3" s="5" t="s">
        <v>41</v>
      </c>
      <c r="J3" s="5" t="s">
        <v>42</v>
      </c>
      <c r="K3" s="5" t="s">
        <v>43</v>
      </c>
      <c r="L3" s="5" t="s">
        <v>44</v>
      </c>
      <c r="M3" s="5" t="s">
        <v>45</v>
      </c>
      <c r="N3" s="5" t="s">
        <v>46</v>
      </c>
    </row>
    <row r="4" customFormat="false" ht="15" hidden="false" customHeight="true" outlineLevel="0" collapsed="false">
      <c r="A4" s="6" t="s">
        <v>47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Format="false" ht="15" hidden="false" customHeight="false" outlineLevel="0" collapsed="false">
      <c r="A5" s="7" t="s">
        <v>50</v>
      </c>
      <c r="B5" s="7" t="s">
        <v>74</v>
      </c>
      <c r="C5" s="7" t="s">
        <v>243</v>
      </c>
      <c r="D5" s="8" t="s">
        <v>369</v>
      </c>
      <c r="E5" s="7" t="s">
        <v>52</v>
      </c>
      <c r="F5" s="8" t="s">
        <v>370</v>
      </c>
      <c r="G5" s="9" t="n">
        <v>158090</v>
      </c>
      <c r="H5" s="9" t="n">
        <v>241392</v>
      </c>
      <c r="I5" s="9" t="n">
        <v>213032</v>
      </c>
      <c r="J5" s="9" t="n">
        <v>194629</v>
      </c>
      <c r="K5" s="10" t="n">
        <f aca="false">IFERROR((H5-G5)/G5,"—")</f>
        <v>0.526927699411728</v>
      </c>
      <c r="L5" s="10" t="n">
        <f aca="false">IFERROR((I5-H5)/H5,"—")</f>
        <v>-0.117485252203884</v>
      </c>
      <c r="M5" s="10" t="n">
        <f aca="false">IFERROR((J5-I5)/I5,"—")</f>
        <v>-0.0863860828420144</v>
      </c>
      <c r="N5" s="8" t="s">
        <v>371</v>
      </c>
    </row>
    <row r="6" customFormat="false" ht="23.85" hidden="false" customHeight="false" outlineLevel="0" collapsed="false">
      <c r="A6" s="7" t="s">
        <v>50</v>
      </c>
      <c r="B6" s="7" t="s">
        <v>74</v>
      </c>
      <c r="C6" s="7" t="s">
        <v>372</v>
      </c>
      <c r="D6" s="8" t="s">
        <v>58</v>
      </c>
      <c r="E6" s="7" t="s">
        <v>59</v>
      </c>
      <c r="F6" s="8" t="s">
        <v>373</v>
      </c>
      <c r="G6" s="9" t="n">
        <v>65900</v>
      </c>
      <c r="H6" s="9" t="n">
        <v>67600</v>
      </c>
      <c r="I6" s="9" t="n">
        <v>87800</v>
      </c>
      <c r="J6" s="9" t="n">
        <v>100500</v>
      </c>
      <c r="K6" s="10" t="n">
        <f aca="false">IFERROR((H6-G6)/G6,"—")</f>
        <v>0.0257966616084977</v>
      </c>
      <c r="L6" s="10" t="n">
        <f aca="false">IFERROR((I6-H6)/H6,"—")</f>
        <v>0.298816568047337</v>
      </c>
      <c r="M6" s="10" t="n">
        <f aca="false">IFERROR((J6-I6)/I6,"—")</f>
        <v>0.144646924829157</v>
      </c>
      <c r="N6" s="8" t="s">
        <v>374</v>
      </c>
    </row>
    <row r="7" customFormat="false" ht="15" hidden="false" customHeight="false" outlineLevel="0" collapsed="false">
      <c r="A7" s="7" t="s">
        <v>50</v>
      </c>
      <c r="B7" s="7" t="s">
        <v>74</v>
      </c>
      <c r="C7" s="7" t="s">
        <v>372</v>
      </c>
      <c r="D7" s="8" t="s">
        <v>375</v>
      </c>
      <c r="E7" s="7" t="s">
        <v>376</v>
      </c>
      <c r="F7" s="8" t="s">
        <v>377</v>
      </c>
      <c r="G7" s="16" t="n">
        <v>6.82</v>
      </c>
      <c r="H7" s="16" t="n">
        <v>6.07</v>
      </c>
      <c r="I7" s="16" t="n">
        <v>5.78</v>
      </c>
      <c r="J7" s="16" t="n">
        <v>6.17</v>
      </c>
      <c r="K7" s="10" t="n">
        <f aca="false">IFERROR((H7-G7)/G7,"—")</f>
        <v>-0.109970674486804</v>
      </c>
      <c r="L7" s="10" t="n">
        <f aca="false">IFERROR((I7-H7)/H7,"—")</f>
        <v>-0.0477759472817133</v>
      </c>
      <c r="M7" s="10" t="n">
        <f aca="false">IFERROR((J7-I7)/I7,"—")</f>
        <v>0.0674740484429065</v>
      </c>
      <c r="N7" s="15" t="s">
        <v>325</v>
      </c>
    </row>
    <row r="8" customFormat="false" ht="15" hidden="false" customHeight="true" outlineLevel="0" collapsed="false">
      <c r="A8" s="6" t="s">
        <v>250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23.85" hidden="false" customHeight="false" outlineLevel="0" collapsed="false">
      <c r="A9" s="7" t="s">
        <v>251</v>
      </c>
      <c r="B9" s="7" t="s">
        <v>378</v>
      </c>
      <c r="C9" s="7" t="s">
        <v>379</v>
      </c>
      <c r="D9" s="8" t="s">
        <v>380</v>
      </c>
      <c r="E9" s="7" t="s">
        <v>69</v>
      </c>
      <c r="F9" s="8" t="s">
        <v>381</v>
      </c>
      <c r="G9" s="14" t="n">
        <v>40</v>
      </c>
      <c r="H9" s="14" t="n">
        <v>45</v>
      </c>
      <c r="I9" s="14" t="n">
        <v>50</v>
      </c>
      <c r="J9" s="14" t="n">
        <v>55</v>
      </c>
      <c r="K9" s="10" t="n">
        <f aca="false">IFERROR((H9-G9)/G9,"—")</f>
        <v>0.125</v>
      </c>
      <c r="L9" s="10" t="n">
        <f aca="false">IFERROR((I9-H9)/H9,"—")</f>
        <v>0.111111111111111</v>
      </c>
      <c r="M9" s="10" t="n">
        <f aca="false">IFERROR((J9-I9)/I9,"—")</f>
        <v>0.1</v>
      </c>
      <c r="N9" s="12" t="s">
        <v>382</v>
      </c>
    </row>
    <row r="10" customFormat="false" ht="15" hidden="false" customHeight="false" outlineLevel="0" collapsed="false">
      <c r="A10" s="7" t="s">
        <v>251</v>
      </c>
      <c r="B10" s="7" t="s">
        <v>378</v>
      </c>
      <c r="C10" s="7" t="s">
        <v>383</v>
      </c>
      <c r="D10" s="8" t="s">
        <v>384</v>
      </c>
      <c r="E10" s="7" t="s">
        <v>69</v>
      </c>
      <c r="F10" s="8" t="s">
        <v>381</v>
      </c>
      <c r="G10" s="14" t="n">
        <v>39</v>
      </c>
      <c r="H10" s="14" t="n">
        <v>39</v>
      </c>
      <c r="I10" s="14" t="n">
        <v>41</v>
      </c>
      <c r="J10" s="14" t="n">
        <v>38</v>
      </c>
      <c r="K10" s="10" t="n">
        <f aca="false">IFERROR((H10-G10)/G10,"—")</f>
        <v>0</v>
      </c>
      <c r="L10" s="10" t="n">
        <f aca="false">IFERROR((I10-H10)/H10,"—")</f>
        <v>0.0512820512820513</v>
      </c>
      <c r="M10" s="10" t="n">
        <f aca="false">IFERROR((J10-I10)/I10,"—")</f>
        <v>-0.0731707317073171</v>
      </c>
      <c r="N10" s="8" t="s">
        <v>358</v>
      </c>
    </row>
    <row r="11" customFormat="false" ht="15" hidden="false" customHeight="false" outlineLevel="0" collapsed="false">
      <c r="A11" s="7" t="s">
        <v>251</v>
      </c>
      <c r="B11" s="7" t="s">
        <v>378</v>
      </c>
      <c r="C11" s="7" t="s">
        <v>385</v>
      </c>
      <c r="D11" s="8" t="s">
        <v>386</v>
      </c>
      <c r="E11" s="7" t="s">
        <v>387</v>
      </c>
      <c r="F11" s="8" t="s">
        <v>388</v>
      </c>
      <c r="G11" s="13" t="s">
        <v>73</v>
      </c>
      <c r="H11" s="13" t="s">
        <v>73</v>
      </c>
      <c r="I11" s="13" t="s">
        <v>73</v>
      </c>
      <c r="J11" s="14" t="n">
        <v>15</v>
      </c>
      <c r="K11" s="13" t="s">
        <v>74</v>
      </c>
      <c r="L11" s="13" t="s">
        <v>74</v>
      </c>
      <c r="M11" s="13" t="s">
        <v>74</v>
      </c>
      <c r="N11" s="8" t="s">
        <v>389</v>
      </c>
    </row>
    <row r="12" customFormat="false" ht="15" hidden="false" customHeight="true" outlineLevel="0" collapsed="false">
      <c r="A12" s="6" t="s">
        <v>259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customFormat="false" ht="15" hidden="false" customHeight="false" outlineLevel="0" collapsed="false">
      <c r="A13" s="7" t="s">
        <v>260</v>
      </c>
      <c r="B13" s="7" t="s">
        <v>261</v>
      </c>
      <c r="C13" s="7" t="s">
        <v>390</v>
      </c>
      <c r="D13" s="8" t="s">
        <v>391</v>
      </c>
      <c r="E13" s="7" t="s">
        <v>52</v>
      </c>
      <c r="F13" s="8" t="s">
        <v>392</v>
      </c>
      <c r="G13" s="9" t="n">
        <v>2437</v>
      </c>
      <c r="H13" s="9" t="n">
        <v>4911</v>
      </c>
      <c r="I13" s="9" t="n">
        <v>3779</v>
      </c>
      <c r="J13" s="9" t="n">
        <v>3717</v>
      </c>
      <c r="K13" s="10" t="n">
        <f aca="false">IFERROR((H13-G13)/G13,"—")</f>
        <v>1.01518260155929</v>
      </c>
      <c r="L13" s="10" t="n">
        <f aca="false">IFERROR((I13-H13)/H13,"—")</f>
        <v>-0.230502952555488</v>
      </c>
      <c r="M13" s="10" t="n">
        <f aca="false">IFERROR((J13-I13)/I13,"—")</f>
        <v>-0.0164064567345859</v>
      </c>
      <c r="N13" s="8" t="s">
        <v>393</v>
      </c>
    </row>
    <row r="14" customFormat="false" ht="15" hidden="false" customHeight="false" outlineLevel="0" collapsed="false">
      <c r="A14" s="7" t="s">
        <v>260</v>
      </c>
      <c r="B14" s="7" t="s">
        <v>394</v>
      </c>
      <c r="C14" s="7" t="s">
        <v>117</v>
      </c>
      <c r="D14" s="8" t="s">
        <v>395</v>
      </c>
      <c r="E14" s="7" t="s">
        <v>396</v>
      </c>
      <c r="F14" s="8" t="s">
        <v>397</v>
      </c>
      <c r="G14" s="9" t="n">
        <v>2050</v>
      </c>
      <c r="H14" s="9" t="n">
        <v>2050</v>
      </c>
      <c r="I14" s="9" t="n">
        <v>2050</v>
      </c>
      <c r="J14" s="9" t="n">
        <v>2050</v>
      </c>
      <c r="K14" s="10" t="n">
        <f aca="false">IFERROR((H14-G14)/G14,"—")</f>
        <v>0</v>
      </c>
      <c r="L14" s="10" t="n">
        <f aca="false">IFERROR((I14-H14)/H14,"—")</f>
        <v>0</v>
      </c>
      <c r="M14" s="10" t="n">
        <f aca="false">IFERROR((J14-I14)/I14,"—")</f>
        <v>0</v>
      </c>
      <c r="N14" s="8" t="s">
        <v>398</v>
      </c>
    </row>
    <row r="15" customFormat="false" ht="15" hidden="false" customHeight="true" outlineLevel="0" collapsed="false">
      <c r="A15" s="6" t="s">
        <v>274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customFormat="false" ht="15" hidden="false" customHeight="false" outlineLevel="0" collapsed="false">
      <c r="A16" s="7" t="s">
        <v>275</v>
      </c>
      <c r="B16" s="7" t="s">
        <v>399</v>
      </c>
      <c r="C16" s="7" t="s">
        <v>277</v>
      </c>
      <c r="D16" s="8" t="s">
        <v>400</v>
      </c>
      <c r="E16" s="7" t="s">
        <v>255</v>
      </c>
      <c r="F16" s="8" t="s">
        <v>401</v>
      </c>
      <c r="G16" s="18" t="s">
        <v>257</v>
      </c>
      <c r="H16" s="18" t="s">
        <v>257</v>
      </c>
      <c r="I16" s="18" t="s">
        <v>257</v>
      </c>
      <c r="J16" s="18" t="s">
        <v>257</v>
      </c>
      <c r="K16" s="13" t="s">
        <v>74</v>
      </c>
      <c r="L16" s="13" t="s">
        <v>74</v>
      </c>
      <c r="M16" s="13" t="s">
        <v>74</v>
      </c>
      <c r="N16" s="12" t="s">
        <v>280</v>
      </c>
    </row>
    <row r="17" customFormat="false" ht="15" hidden="false" customHeight="true" outlineLevel="0" collapsed="false">
      <c r="A17" s="6" t="s">
        <v>326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Format="false" ht="23.85" hidden="false" customHeight="false" outlineLevel="0" collapsed="false">
      <c r="A18" s="7" t="s">
        <v>282</v>
      </c>
      <c r="B18" s="7" t="s">
        <v>283</v>
      </c>
      <c r="C18" s="7" t="s">
        <v>284</v>
      </c>
      <c r="D18" s="8" t="s">
        <v>402</v>
      </c>
      <c r="E18" s="7" t="s">
        <v>196</v>
      </c>
      <c r="F18" s="8" t="s">
        <v>403</v>
      </c>
      <c r="G18" s="14" t="n">
        <v>35.6</v>
      </c>
      <c r="H18" s="14" t="n">
        <v>31.9</v>
      </c>
      <c r="I18" s="14" t="n">
        <v>32.1</v>
      </c>
      <c r="J18" s="14" t="n">
        <v>33.6</v>
      </c>
      <c r="K18" s="10" t="n">
        <f aca="false">IFERROR((H18-G18)/G18,"—")</f>
        <v>-0.103932584269663</v>
      </c>
      <c r="L18" s="10" t="n">
        <f aca="false">IFERROR((I18-H18)/H18,"—")</f>
        <v>0.00626959247648912</v>
      </c>
      <c r="M18" s="10" t="n">
        <f aca="false">IFERROR((J18-I18)/I18,"—")</f>
        <v>0.0467289719626168</v>
      </c>
      <c r="N18" s="15" t="s">
        <v>404</v>
      </c>
    </row>
    <row r="19" customFormat="false" ht="15" hidden="false" customHeight="false" outlineLevel="0" collapsed="false">
      <c r="A19" s="7" t="s">
        <v>282</v>
      </c>
      <c r="B19" s="7" t="s">
        <v>283</v>
      </c>
      <c r="C19" s="7" t="s">
        <v>284</v>
      </c>
      <c r="D19" s="8" t="s">
        <v>405</v>
      </c>
      <c r="E19" s="7" t="s">
        <v>196</v>
      </c>
      <c r="F19" s="8" t="s">
        <v>406</v>
      </c>
      <c r="G19" s="14" t="n">
        <v>33.2</v>
      </c>
      <c r="H19" s="14" t="n">
        <v>30.4</v>
      </c>
      <c r="I19" s="14" t="n">
        <v>31.1</v>
      </c>
      <c r="J19" s="14" t="n">
        <v>32.8</v>
      </c>
      <c r="K19" s="10" t="n">
        <f aca="false">IFERROR((H19-G19)/G19,"—")</f>
        <v>-0.0843373493975905</v>
      </c>
      <c r="L19" s="10" t="n">
        <f aca="false">IFERROR((I19-H19)/H19,"—")</f>
        <v>0.0230263157894738</v>
      </c>
      <c r="M19" s="10" t="n">
        <f aca="false">IFERROR((J19-I19)/I19,"—")</f>
        <v>0.0546623794212217</v>
      </c>
      <c r="N19" s="8" t="s">
        <v>407</v>
      </c>
    </row>
    <row r="20" customFormat="false" ht="23.85" hidden="false" customHeight="false" outlineLevel="0" collapsed="false">
      <c r="A20" s="7" t="s">
        <v>282</v>
      </c>
      <c r="B20" s="7" t="s">
        <v>283</v>
      </c>
      <c r="C20" s="7" t="s">
        <v>284</v>
      </c>
      <c r="D20" s="8" t="s">
        <v>408</v>
      </c>
      <c r="E20" s="7" t="s">
        <v>196</v>
      </c>
      <c r="F20" s="8" t="s">
        <v>406</v>
      </c>
      <c r="G20" s="16" t="n">
        <v>2.4</v>
      </c>
      <c r="H20" s="16" t="n">
        <v>1.4</v>
      </c>
      <c r="I20" s="16" t="n">
        <v>1</v>
      </c>
      <c r="J20" s="19" t="n">
        <v>0.8</v>
      </c>
      <c r="K20" s="10" t="n">
        <f aca="false">IFERROR((H20-G20)/G20,"—")</f>
        <v>-0.416666666666667</v>
      </c>
      <c r="L20" s="10" t="n">
        <f aca="false">IFERROR((I20-H20)/H20,"—")</f>
        <v>-0.285714285714286</v>
      </c>
      <c r="M20" s="10" t="n">
        <f aca="false">IFERROR((J20-I20)/I20,"—")</f>
        <v>-0.2</v>
      </c>
      <c r="N20" s="12" t="s">
        <v>409</v>
      </c>
    </row>
    <row r="21" customFormat="false" ht="15" hidden="false" customHeight="false" outlineLevel="0" collapsed="false">
      <c r="A21" s="7" t="s">
        <v>282</v>
      </c>
      <c r="B21" s="7" t="s">
        <v>283</v>
      </c>
      <c r="C21" s="7" t="s">
        <v>284</v>
      </c>
      <c r="D21" s="8" t="s">
        <v>410</v>
      </c>
      <c r="E21" s="7" t="s">
        <v>196</v>
      </c>
      <c r="F21" s="8" t="s">
        <v>406</v>
      </c>
      <c r="G21" s="14" t="n">
        <v>36.5</v>
      </c>
      <c r="H21" s="14" t="n">
        <v>33.9</v>
      </c>
      <c r="I21" s="14" t="n">
        <v>31.9</v>
      </c>
      <c r="J21" s="14" t="n">
        <v>32.2</v>
      </c>
      <c r="K21" s="10" t="n">
        <f aca="false">IFERROR((H21-G21)/G21,"—")</f>
        <v>-0.0712328767123288</v>
      </c>
      <c r="L21" s="10" t="n">
        <f aca="false">IFERROR((I21-H21)/H21,"—")</f>
        <v>-0.0589970501474926</v>
      </c>
      <c r="M21" s="10" t="n">
        <f aca="false">IFERROR((J21-I21)/I21,"—")</f>
        <v>0.00940438871473368</v>
      </c>
      <c r="N21" s="8" t="s">
        <v>411</v>
      </c>
    </row>
    <row r="22" customFormat="false" ht="15" hidden="false" customHeight="false" outlineLevel="0" collapsed="false">
      <c r="A22" s="7" t="s">
        <v>282</v>
      </c>
      <c r="B22" s="7" t="s">
        <v>283</v>
      </c>
      <c r="C22" s="7" t="s">
        <v>284</v>
      </c>
      <c r="D22" s="8" t="s">
        <v>412</v>
      </c>
      <c r="E22" s="7" t="s">
        <v>69</v>
      </c>
      <c r="F22" s="8" t="s">
        <v>406</v>
      </c>
      <c r="G22" s="19" t="n">
        <v>0.07</v>
      </c>
      <c r="H22" s="19" t="n">
        <v>0.05</v>
      </c>
      <c r="I22" s="19" t="n">
        <v>0.05</v>
      </c>
      <c r="J22" s="19" t="n">
        <v>0.07</v>
      </c>
      <c r="K22" s="10" t="n">
        <f aca="false">IFERROR((H22-G22)/G22,"—")</f>
        <v>-0.285714285714286</v>
      </c>
      <c r="L22" s="10" t="n">
        <f aca="false">IFERROR((I22-H22)/H22,"—")</f>
        <v>0</v>
      </c>
      <c r="M22" s="10" t="n">
        <f aca="false">IFERROR((J22-I22)/I22,"—")</f>
        <v>0.4</v>
      </c>
      <c r="N22" s="15" t="s">
        <v>413</v>
      </c>
    </row>
    <row r="23" customFormat="false" ht="15" hidden="false" customHeight="false" outlineLevel="0" collapsed="false">
      <c r="A23" s="7" t="s">
        <v>282</v>
      </c>
      <c r="B23" s="7" t="s">
        <v>283</v>
      </c>
      <c r="C23" s="7" t="s">
        <v>284</v>
      </c>
      <c r="D23" s="8" t="s">
        <v>414</v>
      </c>
      <c r="E23" s="7" t="s">
        <v>415</v>
      </c>
      <c r="F23" s="8" t="s">
        <v>416</v>
      </c>
      <c r="G23" s="9" t="n">
        <v>967</v>
      </c>
      <c r="H23" s="9" t="n">
        <v>654</v>
      </c>
      <c r="I23" s="9" t="n">
        <v>861</v>
      </c>
      <c r="J23" s="9" t="n">
        <v>613</v>
      </c>
      <c r="K23" s="10" t="n">
        <f aca="false">IFERROR((H23-G23)/G23,"—")</f>
        <v>-0.323681489141675</v>
      </c>
      <c r="L23" s="10" t="n">
        <f aca="false">IFERROR((I23-H23)/H23,"—")</f>
        <v>0.31651376146789</v>
      </c>
      <c r="M23" s="10" t="n">
        <f aca="false">IFERROR((J23-I23)/I23,"—")</f>
        <v>-0.288037166085947</v>
      </c>
      <c r="N23" s="15" t="s">
        <v>417</v>
      </c>
    </row>
    <row r="24" customFormat="false" ht="15" hidden="false" customHeight="false" outlineLevel="0" collapsed="false">
      <c r="A24" s="7" t="s">
        <v>282</v>
      </c>
      <c r="B24" s="7" t="s">
        <v>283</v>
      </c>
      <c r="C24" s="7" t="s">
        <v>284</v>
      </c>
      <c r="D24" s="8" t="s">
        <v>418</v>
      </c>
      <c r="E24" s="7" t="s">
        <v>196</v>
      </c>
      <c r="F24" s="8" t="s">
        <v>419</v>
      </c>
      <c r="G24" s="9" t="n">
        <v>539</v>
      </c>
      <c r="H24" s="9" t="n">
        <v>563</v>
      </c>
      <c r="I24" s="9" t="n">
        <v>628</v>
      </c>
      <c r="J24" s="9" t="n">
        <v>644</v>
      </c>
      <c r="K24" s="10" t="n">
        <f aca="false">IFERROR((H24-G24)/G24,"—")</f>
        <v>0.0445269016697588</v>
      </c>
      <c r="L24" s="10" t="n">
        <f aca="false">IFERROR((I24-H24)/H24,"—")</f>
        <v>0.115452930728242</v>
      </c>
      <c r="M24" s="10" t="n">
        <f aca="false">IFERROR((J24-I24)/I24,"—")</f>
        <v>0.0254777070063694</v>
      </c>
      <c r="N24" s="11" t="s">
        <v>420</v>
      </c>
    </row>
    <row r="25" customFormat="false" ht="15" hidden="false" customHeight="false" outlineLevel="0" collapsed="false">
      <c r="A25" s="7" t="s">
        <v>282</v>
      </c>
      <c r="B25" s="7" t="s">
        <v>283</v>
      </c>
      <c r="C25" s="7" t="s">
        <v>284</v>
      </c>
      <c r="D25" s="8" t="s">
        <v>421</v>
      </c>
      <c r="E25" s="7" t="s">
        <v>422</v>
      </c>
      <c r="F25" s="8" t="s">
        <v>406</v>
      </c>
      <c r="G25" s="14" t="n">
        <v>81</v>
      </c>
      <c r="H25" s="14" t="n">
        <v>81</v>
      </c>
      <c r="I25" s="14" t="n">
        <v>80</v>
      </c>
      <c r="J25" s="14" t="n">
        <v>79</v>
      </c>
      <c r="K25" s="10" t="n">
        <f aca="false">IFERROR((H25-G25)/G25,"—")</f>
        <v>0</v>
      </c>
      <c r="L25" s="10" t="n">
        <f aca="false">IFERROR((I25-H25)/H25,"—")</f>
        <v>-0.0123456790123457</v>
      </c>
      <c r="M25" s="10" t="n">
        <f aca="false">IFERROR((J25-I25)/I25,"—")</f>
        <v>-0.0125</v>
      </c>
      <c r="N25" s="8" t="s">
        <v>423</v>
      </c>
    </row>
    <row r="26" customFormat="false" ht="15" hidden="false" customHeight="true" outlineLevel="0" collapsed="false">
      <c r="A26" s="6" t="s">
        <v>424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customFormat="false" ht="15" hidden="false" customHeight="false" outlineLevel="0" collapsed="false">
      <c r="A27" s="7" t="s">
        <v>282</v>
      </c>
      <c r="B27" s="7" t="s">
        <v>346</v>
      </c>
      <c r="C27" s="7" t="s">
        <v>194</v>
      </c>
      <c r="D27" s="8" t="s">
        <v>425</v>
      </c>
      <c r="E27" s="7" t="s">
        <v>426</v>
      </c>
      <c r="F27" s="8" t="s">
        <v>406</v>
      </c>
      <c r="G27" s="9" t="n">
        <v>128805</v>
      </c>
      <c r="H27" s="9" t="n">
        <v>121697</v>
      </c>
      <c r="I27" s="9" t="n">
        <v>124770</v>
      </c>
      <c r="J27" s="9" t="n">
        <v>129872</v>
      </c>
      <c r="K27" s="10" t="n">
        <f aca="false">IFERROR((H27-G27)/G27,"—")</f>
        <v>-0.0551841931602034</v>
      </c>
      <c r="L27" s="10" t="n">
        <f aca="false">IFERROR((I27-H27)/H27,"—")</f>
        <v>0.0252512387322613</v>
      </c>
      <c r="M27" s="10" t="n">
        <f aca="false">IFERROR((J27-I27)/I27,"—")</f>
        <v>0.0408912398813817</v>
      </c>
      <c r="N27" s="8" t="s">
        <v>427</v>
      </c>
    </row>
    <row r="28" customFormat="false" ht="15" hidden="false" customHeight="true" outlineLevel="0" collapsed="false">
      <c r="A28" s="6" t="s">
        <v>359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customFormat="false" ht="15" hidden="false" customHeight="false" outlineLevel="0" collapsed="false">
      <c r="A29" s="7" t="s">
        <v>282</v>
      </c>
      <c r="B29" s="7" t="s">
        <v>360</v>
      </c>
      <c r="C29" s="7" t="s">
        <v>361</v>
      </c>
      <c r="D29" s="8" t="s">
        <v>428</v>
      </c>
      <c r="E29" s="7" t="s">
        <v>59</v>
      </c>
      <c r="F29" s="8" t="s">
        <v>406</v>
      </c>
      <c r="G29" s="16" t="n">
        <v>1</v>
      </c>
      <c r="H29" s="16" t="n">
        <v>4</v>
      </c>
      <c r="I29" s="16" t="n">
        <v>1</v>
      </c>
      <c r="J29" s="19" t="n">
        <v>0</v>
      </c>
      <c r="K29" s="10" t="n">
        <f aca="false">IFERROR((H29-G29)/G29,"—")</f>
        <v>3</v>
      </c>
      <c r="L29" s="10" t="n">
        <f aca="false">IFERROR((I29-H29)/H29,"—")</f>
        <v>-0.75</v>
      </c>
      <c r="M29" s="10" t="n">
        <f aca="false">IFERROR((J29-I29)/I29,"—")</f>
        <v>-1</v>
      </c>
      <c r="N29" s="12" t="s">
        <v>429</v>
      </c>
    </row>
    <row r="30" customFormat="false" ht="15" hidden="false" customHeight="false" outlineLevel="0" collapsed="false">
      <c r="A30" s="7" t="s">
        <v>282</v>
      </c>
      <c r="B30" s="7" t="s">
        <v>360</v>
      </c>
      <c r="C30" s="7" t="s">
        <v>361</v>
      </c>
      <c r="D30" s="8" t="s">
        <v>430</v>
      </c>
      <c r="E30" s="7" t="s">
        <v>59</v>
      </c>
      <c r="F30" s="8" t="s">
        <v>406</v>
      </c>
      <c r="G30" s="14" t="n">
        <v>16</v>
      </c>
      <c r="H30" s="14" t="n">
        <v>17</v>
      </c>
      <c r="I30" s="16" t="n">
        <v>9</v>
      </c>
      <c r="J30" s="16" t="n">
        <v>3</v>
      </c>
      <c r="K30" s="10" t="n">
        <f aca="false">IFERROR((H30-G30)/G30,"—")</f>
        <v>0.0625</v>
      </c>
      <c r="L30" s="10" t="n">
        <f aca="false">IFERROR((I30-H30)/H30,"—")</f>
        <v>-0.470588235294118</v>
      </c>
      <c r="M30" s="10" t="n">
        <f aca="false">IFERROR((J30-I30)/I30,"—")</f>
        <v>-0.666666666666667</v>
      </c>
      <c r="N30" s="12" t="s">
        <v>431</v>
      </c>
    </row>
    <row r="31" customFormat="false" ht="15" hidden="false" customHeight="false" outlineLevel="0" collapsed="false">
      <c r="A31" s="7" t="s">
        <v>282</v>
      </c>
      <c r="B31" s="7" t="s">
        <v>360</v>
      </c>
      <c r="C31" s="7" t="s">
        <v>361</v>
      </c>
      <c r="D31" s="8" t="s">
        <v>432</v>
      </c>
      <c r="E31" s="7" t="s">
        <v>59</v>
      </c>
      <c r="F31" s="8" t="s">
        <v>416</v>
      </c>
      <c r="G31" s="14" t="n">
        <v>46</v>
      </c>
      <c r="H31" s="14" t="n">
        <v>33</v>
      </c>
      <c r="I31" s="14" t="n">
        <v>30</v>
      </c>
      <c r="J31" s="14" t="n">
        <v>35</v>
      </c>
      <c r="K31" s="10" t="n">
        <f aca="false">IFERROR((H31-G31)/G31,"—")</f>
        <v>-0.282608695652174</v>
      </c>
      <c r="L31" s="10" t="n">
        <f aca="false">IFERROR((I31-H31)/H31,"—")</f>
        <v>-0.0909090909090909</v>
      </c>
      <c r="M31" s="10" t="n">
        <f aca="false">IFERROR((J31-I31)/I31,"—")</f>
        <v>0.166666666666667</v>
      </c>
      <c r="N31" s="11" t="s">
        <v>433</v>
      </c>
    </row>
    <row r="32" customFormat="false" ht="15" hidden="false" customHeight="false" outlineLevel="0" collapsed="false">
      <c r="A32" s="7" t="s">
        <v>282</v>
      </c>
      <c r="B32" s="7" t="s">
        <v>360</v>
      </c>
      <c r="C32" s="7" t="s">
        <v>361</v>
      </c>
      <c r="D32" s="8" t="s">
        <v>434</v>
      </c>
      <c r="E32" s="7" t="s">
        <v>435</v>
      </c>
      <c r="F32" s="8" t="s">
        <v>406</v>
      </c>
      <c r="G32" s="19" t="n">
        <v>0.164</v>
      </c>
      <c r="H32" s="19" t="n">
        <v>0.187</v>
      </c>
      <c r="I32" s="19" t="n">
        <v>0.274</v>
      </c>
      <c r="J32" s="19" t="n">
        <v>0.297</v>
      </c>
      <c r="K32" s="10" t="n">
        <f aca="false">IFERROR((H32-G32)/G32,"—")</f>
        <v>0.140243902439024</v>
      </c>
      <c r="L32" s="10" t="n">
        <f aca="false">IFERROR((I32-H32)/H32,"—")</f>
        <v>0.46524064171123</v>
      </c>
      <c r="M32" s="10" t="n">
        <f aca="false">IFERROR((J32-I32)/I32,"—")</f>
        <v>0.0839416058394159</v>
      </c>
      <c r="N32" s="17" t="s">
        <v>436</v>
      </c>
    </row>
    <row r="33" customFormat="false" ht="15" hidden="false" customHeight="true" outlineLevel="0" collapsed="false">
      <c r="A33" s="6" t="s">
        <v>437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customFormat="false" ht="15" hidden="false" customHeight="false" outlineLevel="0" collapsed="false">
      <c r="A34" s="7" t="s">
        <v>282</v>
      </c>
      <c r="B34" s="7" t="s">
        <v>438</v>
      </c>
      <c r="C34" s="7" t="s">
        <v>439</v>
      </c>
      <c r="D34" s="8" t="s">
        <v>440</v>
      </c>
      <c r="E34" s="7" t="s">
        <v>59</v>
      </c>
      <c r="F34" s="8" t="s">
        <v>381</v>
      </c>
      <c r="G34" s="9" t="n">
        <v>121</v>
      </c>
      <c r="H34" s="9" t="n">
        <v>108</v>
      </c>
      <c r="I34" s="9" t="n">
        <v>100</v>
      </c>
      <c r="J34" s="14" t="n">
        <v>96</v>
      </c>
      <c r="K34" s="10" t="n">
        <f aca="false">IFERROR((H34-G34)/G34,"—")</f>
        <v>-0.107438016528926</v>
      </c>
      <c r="L34" s="10" t="n">
        <f aca="false">IFERROR((I34-H34)/H34,"—")</f>
        <v>-0.0740740740740741</v>
      </c>
      <c r="M34" s="10" t="n">
        <f aca="false">IFERROR((J34-I34)/I34,"—")</f>
        <v>-0.04</v>
      </c>
      <c r="N34" s="15" t="s">
        <v>441</v>
      </c>
    </row>
    <row r="35" customFormat="false" ht="15" hidden="false" customHeight="false" outlineLevel="0" collapsed="false">
      <c r="A35" s="7" t="s">
        <v>282</v>
      </c>
      <c r="B35" s="7" t="s">
        <v>438</v>
      </c>
      <c r="C35" s="7" t="s">
        <v>439</v>
      </c>
      <c r="D35" s="8" t="s">
        <v>442</v>
      </c>
      <c r="E35" s="7" t="s">
        <v>59</v>
      </c>
      <c r="F35" s="8" t="s">
        <v>416</v>
      </c>
      <c r="G35" s="9" t="n">
        <v>191</v>
      </c>
      <c r="H35" s="9" t="n">
        <v>178</v>
      </c>
      <c r="I35" s="9" t="n">
        <v>154</v>
      </c>
      <c r="J35" s="9" t="n">
        <v>182</v>
      </c>
      <c r="K35" s="10" t="n">
        <f aca="false">IFERROR((H35-G35)/G35,"—")</f>
        <v>-0.0680628272251309</v>
      </c>
      <c r="L35" s="10" t="n">
        <f aca="false">IFERROR((I35-H35)/H35,"—")</f>
        <v>-0.134831460674157</v>
      </c>
      <c r="M35" s="10" t="n">
        <f aca="false">IFERROR((J35-I35)/I35,"—")</f>
        <v>0.181818181818182</v>
      </c>
      <c r="N35" s="11" t="s">
        <v>443</v>
      </c>
    </row>
    <row r="36" customFormat="false" ht="15" hidden="false" customHeight="false" outlineLevel="0" collapsed="false">
      <c r="A36" s="7" t="s">
        <v>282</v>
      </c>
      <c r="B36" s="7" t="s">
        <v>438</v>
      </c>
      <c r="C36" s="7" t="s">
        <v>351</v>
      </c>
      <c r="D36" s="8" t="s">
        <v>444</v>
      </c>
      <c r="E36" s="7" t="s">
        <v>445</v>
      </c>
      <c r="F36" s="8" t="s">
        <v>416</v>
      </c>
      <c r="G36" s="14" t="n">
        <v>97.9</v>
      </c>
      <c r="H36" s="14" t="n">
        <v>92.4</v>
      </c>
      <c r="I36" s="14" t="n">
        <v>84.1</v>
      </c>
      <c r="J36" s="14" t="n">
        <v>81.8</v>
      </c>
      <c r="K36" s="10" t="n">
        <f aca="false">IFERROR((H36-G36)/G36,"—")</f>
        <v>-0.0561797752808989</v>
      </c>
      <c r="L36" s="10" t="n">
        <f aca="false">IFERROR((I36-H36)/H36,"—")</f>
        <v>-0.08982683982684</v>
      </c>
      <c r="M36" s="10" t="n">
        <f aca="false">IFERROR((J36-I36)/I36,"—")</f>
        <v>-0.0273483947681331</v>
      </c>
      <c r="N36" s="15" t="s">
        <v>441</v>
      </c>
    </row>
    <row r="38" customFormat="false" ht="15" hidden="false" customHeight="false" outlineLevel="0" collapsed="false">
      <c r="A38" s="4" t="s">
        <v>446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customFormat="false" ht="15" hidden="false" customHeight="false" outlineLevel="0" collapsed="false">
      <c r="A39" s="4" t="s">
        <v>123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</sheetData>
  <mergeCells count="12">
    <mergeCell ref="A1:N1"/>
    <mergeCell ref="A2:N2"/>
    <mergeCell ref="A4:N4"/>
    <mergeCell ref="A8:N8"/>
    <mergeCell ref="A12:N12"/>
    <mergeCell ref="A15:N15"/>
    <mergeCell ref="A17:N17"/>
    <mergeCell ref="A26:N26"/>
    <mergeCell ref="A28:N28"/>
    <mergeCell ref="A33:N33"/>
    <mergeCell ref="A38:N38"/>
    <mergeCell ref="A39:N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8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447</v>
      </c>
      <c r="B1" s="1"/>
      <c r="C1" s="1"/>
      <c r="D1" s="1"/>
    </row>
    <row r="2" customFormat="false" ht="15" hidden="false" customHeight="false" outlineLevel="0" collapsed="false">
      <c r="A2" s="4" t="s">
        <v>448</v>
      </c>
      <c r="B2" s="4"/>
      <c r="C2" s="4"/>
      <c r="D2" s="4"/>
    </row>
    <row r="4" customFormat="false" ht="27.75" hidden="false" customHeight="true" outlineLevel="0" collapsed="false">
      <c r="A4" s="5" t="s">
        <v>449</v>
      </c>
      <c r="B4" s="5" t="s">
        <v>450</v>
      </c>
      <c r="C4" s="5" t="s">
        <v>451</v>
      </c>
      <c r="D4" s="5" t="s">
        <v>452</v>
      </c>
    </row>
    <row r="5" customFormat="false" ht="15" hidden="false" customHeight="false" outlineLevel="0" collapsed="false">
      <c r="A5" s="8" t="s">
        <v>453</v>
      </c>
      <c r="B5" s="8" t="s">
        <v>454</v>
      </c>
      <c r="C5" s="20" t="s">
        <v>455</v>
      </c>
      <c r="D5" s="8" t="s">
        <v>456</v>
      </c>
    </row>
    <row r="6" customFormat="false" ht="15" hidden="false" customHeight="false" outlineLevel="0" collapsed="false">
      <c r="A6" s="8" t="s">
        <v>453</v>
      </c>
      <c r="B6" s="8" t="s">
        <v>457</v>
      </c>
      <c r="C6" s="20" t="s">
        <v>458</v>
      </c>
      <c r="D6" s="8" t="s">
        <v>459</v>
      </c>
    </row>
    <row r="7" customFormat="false" ht="15" hidden="false" customHeight="false" outlineLevel="0" collapsed="false">
      <c r="A7" s="8" t="s">
        <v>453</v>
      </c>
      <c r="B7" s="8" t="s">
        <v>460</v>
      </c>
      <c r="C7" s="20" t="s">
        <v>461</v>
      </c>
      <c r="D7" s="8" t="s">
        <v>462</v>
      </c>
    </row>
    <row r="8" customFormat="false" ht="15" hidden="false" customHeight="false" outlineLevel="0" collapsed="false">
      <c r="A8" s="8" t="s">
        <v>453</v>
      </c>
      <c r="B8" s="8" t="s">
        <v>463</v>
      </c>
      <c r="C8" s="20" t="s">
        <v>464</v>
      </c>
      <c r="D8" s="8" t="s">
        <v>465</v>
      </c>
    </row>
    <row r="9" customFormat="false" ht="15" hidden="false" customHeight="false" outlineLevel="0" collapsed="false">
      <c r="A9" s="8" t="s">
        <v>466</v>
      </c>
      <c r="B9" s="8" t="s">
        <v>467</v>
      </c>
      <c r="C9" s="20" t="s">
        <v>468</v>
      </c>
      <c r="D9" s="8" t="s">
        <v>469</v>
      </c>
    </row>
    <row r="10" customFormat="false" ht="15" hidden="false" customHeight="false" outlineLevel="0" collapsed="false">
      <c r="A10" s="8" t="s">
        <v>466</v>
      </c>
      <c r="B10" s="8" t="s">
        <v>145</v>
      </c>
      <c r="C10" s="20" t="s">
        <v>470</v>
      </c>
      <c r="D10" s="8" t="s">
        <v>471</v>
      </c>
    </row>
    <row r="11" customFormat="false" ht="15" hidden="false" customHeight="false" outlineLevel="0" collapsed="false">
      <c r="A11" s="8" t="s">
        <v>466</v>
      </c>
      <c r="B11" s="8" t="s">
        <v>172</v>
      </c>
      <c r="C11" s="20" t="s">
        <v>472</v>
      </c>
      <c r="D11" s="8" t="s">
        <v>473</v>
      </c>
    </row>
    <row r="12" customFormat="false" ht="15" hidden="false" customHeight="false" outlineLevel="0" collapsed="false">
      <c r="A12" s="8" t="s">
        <v>466</v>
      </c>
      <c r="B12" s="8" t="s">
        <v>474</v>
      </c>
      <c r="C12" s="20" t="s">
        <v>475</v>
      </c>
      <c r="D12" s="8" t="s">
        <v>476</v>
      </c>
    </row>
    <row r="13" customFormat="false" ht="15" hidden="false" customHeight="false" outlineLevel="0" collapsed="false">
      <c r="A13" s="8" t="s">
        <v>466</v>
      </c>
      <c r="B13" s="8" t="s">
        <v>139</v>
      </c>
      <c r="C13" s="20" t="s">
        <v>477</v>
      </c>
      <c r="D13" s="8" t="s">
        <v>478</v>
      </c>
    </row>
    <row r="14" customFormat="false" ht="15" hidden="false" customHeight="false" outlineLevel="0" collapsed="false">
      <c r="A14" s="8" t="s">
        <v>479</v>
      </c>
      <c r="B14" s="8" t="s">
        <v>480</v>
      </c>
      <c r="C14" s="20" t="s">
        <v>481</v>
      </c>
      <c r="D14" s="8" t="s">
        <v>482</v>
      </c>
    </row>
    <row r="15" customFormat="false" ht="15" hidden="false" customHeight="false" outlineLevel="0" collapsed="false">
      <c r="A15" s="8" t="s">
        <v>479</v>
      </c>
      <c r="B15" s="8" t="s">
        <v>483</v>
      </c>
      <c r="C15" s="20" t="s">
        <v>484</v>
      </c>
      <c r="D15" s="8" t="s">
        <v>485</v>
      </c>
    </row>
    <row r="16" customFormat="false" ht="15" hidden="false" customHeight="false" outlineLevel="0" collapsed="false">
      <c r="A16" s="8" t="s">
        <v>479</v>
      </c>
      <c r="B16" s="8" t="s">
        <v>486</v>
      </c>
      <c r="C16" s="20" t="s">
        <v>487</v>
      </c>
      <c r="D16" s="8" t="s">
        <v>488</v>
      </c>
    </row>
    <row r="17" customFormat="false" ht="15" hidden="false" customHeight="false" outlineLevel="0" collapsed="false">
      <c r="A17" s="8" t="s">
        <v>479</v>
      </c>
      <c r="B17" s="8" t="s">
        <v>489</v>
      </c>
      <c r="C17" s="20" t="s">
        <v>490</v>
      </c>
      <c r="D17" s="8" t="s">
        <v>491</v>
      </c>
    </row>
    <row r="18" customFormat="false" ht="15" hidden="false" customHeight="false" outlineLevel="0" collapsed="false">
      <c r="A18" s="8" t="s">
        <v>479</v>
      </c>
      <c r="B18" s="8" t="s">
        <v>492</v>
      </c>
      <c r="C18" s="20" t="s">
        <v>493</v>
      </c>
      <c r="D18" s="8" t="s">
        <v>494</v>
      </c>
    </row>
    <row r="19" customFormat="false" ht="15" hidden="false" customHeight="false" outlineLevel="0" collapsed="false">
      <c r="A19" s="8" t="s">
        <v>495</v>
      </c>
      <c r="B19" s="8" t="s">
        <v>324</v>
      </c>
      <c r="C19" s="20" t="s">
        <v>496</v>
      </c>
      <c r="D19" s="8" t="s">
        <v>497</v>
      </c>
    </row>
    <row r="20" customFormat="false" ht="15" hidden="false" customHeight="false" outlineLevel="0" collapsed="false">
      <c r="A20" s="8" t="s">
        <v>495</v>
      </c>
      <c r="B20" s="8" t="s">
        <v>498</v>
      </c>
      <c r="C20" s="20" t="s">
        <v>499</v>
      </c>
      <c r="D20" s="8" t="s">
        <v>500</v>
      </c>
    </row>
    <row r="21" customFormat="false" ht="15" hidden="false" customHeight="false" outlineLevel="0" collapsed="false">
      <c r="A21" s="8" t="s">
        <v>495</v>
      </c>
      <c r="B21" s="8" t="s">
        <v>501</v>
      </c>
      <c r="C21" s="20" t="s">
        <v>502</v>
      </c>
      <c r="D21" s="8" t="s">
        <v>503</v>
      </c>
    </row>
    <row r="22" customFormat="false" ht="15" hidden="false" customHeight="false" outlineLevel="0" collapsed="false">
      <c r="A22" s="8" t="s">
        <v>495</v>
      </c>
      <c r="B22" s="8" t="s">
        <v>388</v>
      </c>
      <c r="C22" s="20" t="s">
        <v>504</v>
      </c>
      <c r="D22" s="8" t="s">
        <v>505</v>
      </c>
    </row>
    <row r="23" customFormat="false" ht="15" hidden="false" customHeight="false" outlineLevel="0" collapsed="false">
      <c r="A23" s="8" t="s">
        <v>495</v>
      </c>
      <c r="B23" s="8" t="s">
        <v>506</v>
      </c>
      <c r="C23" s="20" t="s">
        <v>507</v>
      </c>
      <c r="D23" s="8" t="s">
        <v>508</v>
      </c>
    </row>
    <row r="24" customFormat="false" ht="15" hidden="false" customHeight="false" outlineLevel="0" collapsed="false">
      <c r="A24" s="8" t="s">
        <v>509</v>
      </c>
      <c r="B24" s="8" t="s">
        <v>510</v>
      </c>
      <c r="C24" s="20" t="s">
        <v>511</v>
      </c>
      <c r="D24" s="8" t="s">
        <v>512</v>
      </c>
    </row>
    <row r="25" customFormat="false" ht="23.85" hidden="false" customHeight="false" outlineLevel="0" collapsed="false">
      <c r="A25" s="8" t="s">
        <v>509</v>
      </c>
      <c r="B25" s="8" t="s">
        <v>513</v>
      </c>
      <c r="C25" s="20" t="s">
        <v>514</v>
      </c>
      <c r="D25" s="8" t="s">
        <v>515</v>
      </c>
    </row>
    <row r="26" customFormat="false" ht="15" hidden="false" customHeight="false" outlineLevel="0" collapsed="false">
      <c r="A26" s="8" t="s">
        <v>509</v>
      </c>
      <c r="B26" s="8" t="s">
        <v>516</v>
      </c>
      <c r="C26" s="20" t="s">
        <v>517</v>
      </c>
      <c r="D26" s="8" t="s">
        <v>518</v>
      </c>
    </row>
    <row r="27" customFormat="false" ht="15" hidden="false" customHeight="false" outlineLevel="0" collapsed="false">
      <c r="A27" s="8" t="s">
        <v>519</v>
      </c>
      <c r="B27" s="8" t="s">
        <v>397</v>
      </c>
      <c r="C27" s="20" t="s">
        <v>520</v>
      </c>
      <c r="D27" s="8" t="s">
        <v>521</v>
      </c>
    </row>
    <row r="28" customFormat="false" ht="15" hidden="false" customHeight="false" outlineLevel="0" collapsed="false">
      <c r="A28" s="8" t="s">
        <v>519</v>
      </c>
      <c r="B28" s="8" t="s">
        <v>392</v>
      </c>
      <c r="C28" s="20" t="s">
        <v>522</v>
      </c>
      <c r="D28" s="8" t="s">
        <v>523</v>
      </c>
    </row>
    <row r="29" customFormat="false" ht="15" hidden="false" customHeight="false" outlineLevel="0" collapsed="false">
      <c r="A29" s="8" t="s">
        <v>519</v>
      </c>
      <c r="B29" s="8" t="s">
        <v>524</v>
      </c>
      <c r="C29" s="20" t="s">
        <v>525</v>
      </c>
      <c r="D29" s="8" t="s">
        <v>526</v>
      </c>
    </row>
    <row r="30" customFormat="false" ht="15" hidden="false" customHeight="false" outlineLevel="0" collapsed="false">
      <c r="A30" s="8" t="s">
        <v>519</v>
      </c>
      <c r="B30" s="8" t="s">
        <v>388</v>
      </c>
      <c r="C30" s="20" t="s">
        <v>527</v>
      </c>
      <c r="D30" s="8" t="s">
        <v>528</v>
      </c>
    </row>
    <row r="31" customFormat="false" ht="15" hidden="false" customHeight="false" outlineLevel="0" collapsed="false">
      <c r="A31" s="8" t="s">
        <v>529</v>
      </c>
      <c r="B31" s="8" t="s">
        <v>530</v>
      </c>
      <c r="C31" s="20" t="s">
        <v>531</v>
      </c>
      <c r="D31" s="8" t="s">
        <v>532</v>
      </c>
    </row>
    <row r="32" customFormat="false" ht="15" hidden="false" customHeight="false" outlineLevel="0" collapsed="false">
      <c r="A32" s="8" t="s">
        <v>529</v>
      </c>
      <c r="B32" s="8" t="s">
        <v>533</v>
      </c>
      <c r="C32" s="20" t="s">
        <v>534</v>
      </c>
      <c r="D32" s="8" t="s">
        <v>535</v>
      </c>
    </row>
  </sheetData>
  <mergeCells count="2">
    <mergeCell ref="A1:D1"/>
    <mergeCell ref="A2:D2"/>
  </mergeCells>
  <hyperlinks>
    <hyperlink ref="C5" r:id="rId1" display="https://www.microsoft.com/en-us/investor/sec-filings"/>
    <hyperlink ref="C6" r:id="rId2" display="https://cdn-dynmedia-1.microsoft.com/is/content/microsoftcorp/microsoft/msc/documents/presentations/CSR/2024-Environmental-Sustainability-Report-Data-Fact.pdf"/>
    <hyperlink ref="C7" r:id="rId3" display="https://cdn-dynmedia-1.microsoft.com/is/content/microsoftcorp/microsoft/msc/documents/presentations/CSR/2025-Microsoft-Environmental-Data-Fact-Sheet-PDF.pdf"/>
    <hyperlink ref="C8" r:id="rId4" display="https://www.microsoft.com/en-us/corporate-responsibility/reports/government-requests/customer-data"/>
    <hyperlink ref="C9" r:id="rId5" display="https://www.merck.com/investor-relations/"/>
    <hyperlink ref="C10" r:id="rId6" display="https://www.merck.com/wp-content/uploads/sites/124/2026/02/2024-assurance-letter-GHG.pdf"/>
    <hyperlink ref="C11" r:id="rId7" display="https://www.merck.com/wp-content/uploads/sites/124/2024/08/Merck_ImpactReport_2023-2024.pdf"/>
    <hyperlink ref="C12" r:id="rId8" display="https://www.merck.com/stories/merck-publishes-purpose-for-progress-impact-report-2024-2025/"/>
    <hyperlink ref="C13" r:id="rId9" display="https://www.merck.com/news/merck-reports-strong-progress-in-esg-focus-areas/"/>
    <hyperlink ref="C14" r:id="rId10" display="https://stock.walmart.com/financial-information/annual-reports"/>
    <hyperlink ref="C15" r:id="rId11" display="https://corporate.walmart.com/content/dam/corporate/documents/esgreport/2025/FY2025-Walmart-ESG-Report.pdf"/>
    <hyperlink ref="C16" r:id="rId12" display="https://trellis.net/article/walmart-misses-emissions-reduction-goals/"/>
    <hyperlink ref="C17" r:id="rId13" display="https://www.globaldata.com/data-insights/retail-amp-wholesale/walmart-greenhouse-gas-emissions-2096354/"/>
    <hyperlink ref="C18" r:id="rId14" display="https://trellis.net/article/ceo-doug-mcmillon-walmarts-supply-chain-cut-1-billion-tons-emissions-6-years-ahead-schedule/"/>
    <hyperlink ref="C19" r:id="rId15" display="https://www.jpmorganchase.com/ir/annual-report"/>
    <hyperlink ref="C20" r:id="rId16" display="https://www.jpmorganchase.com/content/dam/jpmc/jpmorgan-chase-and-co/documents/2023-operational-ghg-emissions-and-electric-power-use.pdf"/>
    <hyperlink ref="C21" r:id="rId17" display="https://www.jpmorganchase.com/content/dam/jpmorganchase/documents/2024-operational-ghg-emissions-and-electric-power-use.pdf"/>
    <hyperlink ref="C22" r:id="rId18" display="https://www.jpmorganchase.com/content/dam/jpmorganchase/documents/about/jpmc-sustainability-report-2024.pdf"/>
    <hyperlink ref="C23" r:id="rId19" display="https://www.jpmorganchase.com/content/dam/jpmc/jpmorgan-chase-and-co/documents/Climate-Report-2024.pdf"/>
    <hyperlink ref="C24" r:id="rId20" display="https://www.unilever.com/files/unilever-annual-report-and-accounts-2024.pdf"/>
    <hyperlink ref="C25" r:id="rId21" display="https://www.unilever.com/files/f83e1f61-8931-4aec-adb2-a575fd009ed1/assured-unilever-environmental-and-occupational-safety--eos--pdf.pdf"/>
    <hyperlink ref="C26" r:id="rId22" display="https://www.unilever.com/files/8b5df5f6-cb90-40fd-9691-38d06905d81d/unilever-climate-transition-action-plan-updated-2024.pdf"/>
    <hyperlink ref="C27" r:id="rId23" display="https://www.bp.com/content/dam/bp/business-sites/en/global/corporate/pdfs/investors/bp-annual-report-and-form-20f-2024.pdf"/>
    <hyperlink ref="C28" r:id="rId24" display="https://www.bp.com/content/dam/bp/business-sites/en/global/corporate/pdfs/sustainability/group-reports/bp-esg-datasheet-2024.pdf"/>
    <hyperlink ref="C29" r:id="rId25" display="https://www.bp.com/content/dam/bp/business-sites/en/global/corporate/pdfs/sustainability/group-reports/bp-esg-datasheet-2025.pdf"/>
    <hyperlink ref="C30" r:id="rId26" display="https://www.bp.com/content/dam/bp/business-sites/en/global/corporate/pdfs/sustainability/group-reports/bp-sustainability-report-2024.pdf"/>
    <hyperlink ref="C31" r:id="rId27" display="https://sasb.ifrs.org/standards/"/>
    <hyperlink ref="C32" r:id="rId28" display="https://www.fsb-tcfd.org/recommendation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2026-05-11T09:11:07Z</dcterms:created>
  <dc:creator>openpyxl</dc:creator>
  <dc:description/>
  <dc:language>en-US</dc:language>
  <cp:lastModifiedBy/>
  <dcterms:modified xsi:type="dcterms:W3CDTF">2026-05-11T09:11:07Z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